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upama Dwivedi\Downloads\"/>
    </mc:Choice>
  </mc:AlternateContent>
  <xr:revisionPtr revIDLastSave="0" documentId="8_{3BFB2082-7FC0-4D17-9C50-2842DE0A6B54}" xr6:coauthVersionLast="47" xr6:coauthVersionMax="47" xr10:uidLastSave="{00000000-0000-0000-0000-000000000000}"/>
  <bookViews>
    <workbookView xWindow="-105" yWindow="0" windowWidth="19410" windowHeight="15585" xr2:uid="{BB35F6E0-39C9-4672-B6F1-E8D0DC967E8C}"/>
  </bookViews>
  <sheets>
    <sheet name="Online Sales Data" sheetId="1" r:id="rId1"/>
    <sheet name="Analysis &amp; 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Q6" i="3"/>
  <c r="Q4" i="3"/>
  <c r="P6" i="3"/>
  <c r="P5" i="3"/>
  <c r="P4" i="3"/>
  <c r="L5" i="3"/>
  <c r="L6" i="3"/>
  <c r="L4" i="3"/>
  <c r="K4" i="3"/>
  <c r="K5" i="3"/>
  <c r="K6" i="3"/>
  <c r="F4" i="3"/>
  <c r="F5" i="3"/>
  <c r="F6" i="3"/>
  <c r="F7" i="3"/>
  <c r="F8" i="3"/>
  <c r="F9" i="3"/>
  <c r="G9" i="3"/>
  <c r="G8" i="3"/>
  <c r="G7" i="3"/>
  <c r="G6" i="3"/>
  <c r="G5" i="3"/>
  <c r="G4" i="3"/>
  <c r="B8" i="3"/>
  <c r="B7" i="3"/>
  <c r="B6" i="3"/>
  <c r="B5" i="3"/>
  <c r="B4" i="3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4" i="1"/>
</calcChain>
</file>

<file path=xl/sharedStrings.xml><?xml version="1.0" encoding="utf-8"?>
<sst xmlns="http://schemas.openxmlformats.org/spreadsheetml/2006/main" count="441" uniqueCount="136">
  <si>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</si>
  <si>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</si>
  <si>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</si>
  <si>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</si>
  <si>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</si>
  <si>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</si>
  <si>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</si>
  <si>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</si>
  <si>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</si>
  <si>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</si>
  <si>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</si>
  <si>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</si>
  <si>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</si>
  <si>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</si>
  <si>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</si>
  <si>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</si>
  <si>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</si>
  <si>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</si>
  <si>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</si>
  <si>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</si>
  <si>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</si>
  <si>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</si>
  <si>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</si>
  <si>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</si>
  <si>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</si>
  <si>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</si>
  <si>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</si>
  <si>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</si>
  <si>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</si>
  <si>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</si>
  <si>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</si>
  <si>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</si>
  <si>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</si>
  <si>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</si>
  <si>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</si>
  <si>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</si>
  <si>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</si>
  <si>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</si>
  <si>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</si>
  <si>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</si>
  <si>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</si>
  <si>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</si>
  <si>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</si>
  <si>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</si>
  <si>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</si>
  <si>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</si>
  <si>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</si>
  <si>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</si>
  <si>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</si>
  <si>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</si>
  <si>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</si>
  <si>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</si>
  <si>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</si>
  <si>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</si>
  <si>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</si>
  <si>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</si>
  <si>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</si>
  <si>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</si>
  <si>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</si>
  <si>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</si>
  <si>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</si>
  <si>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</si>
  <si>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</si>
  <si>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</si>
  <si>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</si>
  <si>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</si>
  <si>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</si>
  <si>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</si>
  <si>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</si>
  <si>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</si>
  <si>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</si>
  <si>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</si>
  <si>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</si>
  <si>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</si>
  <si>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</si>
  <si>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</si>
  <si>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</si>
  <si>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</si>
  <si>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</si>
  <si>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</si>
  <si>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</si>
  <si>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</si>
  <si>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</si>
  <si>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</si>
  <si>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</si>
  <si>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</si>
  <si>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</si>
  <si>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</si>
  <si>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</si>
  <si>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</si>
  <si>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</si>
  <si>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</si>
  <si>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</si>
  <si>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</si>
  <si>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</si>
  <si>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</si>
  <si>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</si>
  <si>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</si>
  <si>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</si>
  <si>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</si>
  <si>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</si>
  <si>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</si>
  <si>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</si>
  <si>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</si>
  <si>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</si>
  <si>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</si>
  <si>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</si>
  <si>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</si>
  <si>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</si>
  <si>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</si>
  <si>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</si>
  <si>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</si>
  <si>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</si>
  <si>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</si>
  <si>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</si>
  <si>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</si>
  <si>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</si>
  <si>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</si>
  <si>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</si>
  <si>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</si>
  <si>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Month</t>
  </si>
  <si>
    <t>Sales Management System</t>
  </si>
  <si>
    <t>Analysis</t>
  </si>
  <si>
    <t>Metric</t>
  </si>
  <si>
    <t>Total Units Sold</t>
  </si>
  <si>
    <t>Average Unit Price</t>
  </si>
  <si>
    <t>Total Transactions</t>
  </si>
  <si>
    <t>Highest Revenue</t>
  </si>
  <si>
    <t>Lowest Revenue</t>
  </si>
  <si>
    <t>41183.74</t>
  </si>
  <si>
    <t>Total Units</t>
  </si>
  <si>
    <t xml:space="preserve">Payment Method Analysis </t>
  </si>
  <si>
    <t>Transactions</t>
  </si>
  <si>
    <t>Revenue</t>
  </si>
  <si>
    <t>Category-Wise Sales</t>
  </si>
  <si>
    <t>Region - Wise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</si>
</sst>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4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36" borderId="16" xfId="0" applyFont="1" applyFill="1" applyBorder="1" applyAlignment="1">
      <alignment horizontal="center"/>
    </xf>
    <xf numFmtId="0" fontId="25" fillId="36" borderId="16" xfId="0" applyFont="1" applyFill="1" applyBorder="1" applyAlignment="1">
      <alignment horizontal="center"/>
    </xf>
    <xf numFmtId="0" fontId="0" fillId="0" borderId="0" xfId="0" applyNumberForma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0" fontId="0" fillId="37" borderId="18" xfId="0" applyFill="1" applyBorder="1" applyAlignment="1">
      <alignment horizontal="center" vertical="center"/>
    </xf>
    <xf numFmtId="0" fontId="0" fillId="37" borderId="0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21" fillId="38" borderId="10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8" borderId="12" xfId="0" applyFont="1" applyFill="1" applyBorder="1" applyAlignment="1">
      <alignment horizontal="center" vertical="center"/>
    </xf>
    <xf numFmtId="0" fontId="19" fillId="38" borderId="18" xfId="0" applyFont="1" applyFill="1" applyBorder="1" applyAlignment="1">
      <alignment horizontal="center" vertical="center"/>
    </xf>
    <xf numFmtId="0" fontId="19" fillId="38" borderId="0" xfId="0" applyFont="1" applyFill="1" applyBorder="1" applyAlignment="1">
      <alignment horizontal="center" vertical="center"/>
    </xf>
    <xf numFmtId="0" fontId="19" fillId="38" borderId="19" xfId="0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2" fillId="34" borderId="16" xfId="0" applyFont="1" applyFill="1" applyBorder="1" applyAlignment="1">
      <alignment horizontal="center" vertical="center"/>
    </xf>
    <xf numFmtId="0" fontId="2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6" fillId="35" borderId="11" xfId="0" applyFont="1" applyFill="1" applyBorder="1" applyAlignment="1">
      <alignment horizontal="center" vertical="center"/>
    </xf>
    <xf numFmtId="0" fontId="16" fillId="35" borderId="12" xfId="0" applyFont="1" applyFill="1" applyBorder="1" applyAlignment="1">
      <alignment horizontal="center" vertical="center"/>
    </xf>
    <xf numFmtId="0" fontId="16" fillId="35" borderId="13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horizontal="center" vertical="center"/>
    </xf>
    <xf numFmtId="0" fontId="16" fillId="35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Total Revenue by Product</a:t>
            </a:r>
            <a:r>
              <a:rPr lang="en-US" sz="1800" baseline="0"/>
              <a:t> Category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&amp; Dashboard'!$G$3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&amp; Dashboard'!$E$4:$E$9</c:f>
              <c:strCache>
                <c:ptCount val="6"/>
                <c:pt idx="0">
                  <c:v>Electronics</c:v>
                </c:pt>
                <c:pt idx="1">
                  <c:v>Home Appliances</c:v>
                </c:pt>
                <c:pt idx="2">
                  <c:v>Clothing</c:v>
                </c:pt>
                <c:pt idx="3">
                  <c:v>Books</c:v>
                </c:pt>
                <c:pt idx="4">
                  <c:v>Beauty Products</c:v>
                </c:pt>
                <c:pt idx="5">
                  <c:v>Sports</c:v>
                </c:pt>
              </c:strCache>
            </c:strRef>
          </c:cat>
          <c:val>
            <c:numRef>
              <c:f>'Analysis &amp; Dashboard'!$G$4:$G$9</c:f>
              <c:numCache>
                <c:formatCode>General</c:formatCode>
                <c:ptCount val="6"/>
                <c:pt idx="0">
                  <c:v>16299.649999999992</c:v>
                </c:pt>
                <c:pt idx="1">
                  <c:v>10629.75</c:v>
                </c:pt>
                <c:pt idx="2">
                  <c:v>4524.3099999999986</c:v>
                </c:pt>
                <c:pt idx="3">
                  <c:v>1029.5700000000002</c:v>
                </c:pt>
                <c:pt idx="4">
                  <c:v>1516.93</c:v>
                </c:pt>
                <c:pt idx="5">
                  <c:v>7183.5300000000007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9-48F7-88F6-A94A7C0F6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4249855"/>
        <c:axId val="1220010511"/>
      </c:barChart>
      <c:catAx>
        <c:axId val="121424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10511"/>
        <c:crosses val="autoZero"/>
        <c:auto val="1"/>
        <c:lblAlgn val="ctr"/>
        <c:lblOffset val="100"/>
        <c:noMultiLvlLbl val="0"/>
      </c:catAx>
      <c:valAx>
        <c:axId val="12200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4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&amp; Dashboard'!$L$3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&amp; Dashboard'!$J$4:$J$6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'Analysis &amp; Dashboard'!$L$4:$L$6</c:f>
              <c:numCache>
                <c:formatCode>General</c:formatCode>
                <c:ptCount val="3"/>
                <c:pt idx="0">
                  <c:v>17329.219999999994</c:v>
                </c:pt>
                <c:pt idx="1">
                  <c:v>12146.679999999998</c:v>
                </c:pt>
                <c:pt idx="2">
                  <c:v>11707.839999999995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5-4771-9032-17ECDE85F4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'Analysis &amp; Dashboard'!$Q$3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'Analysis &amp; Dashboard'!$O$4:$O$6</c:f>
              <c:strCache>
                <c:ptCount val="3"/>
                <c:pt idx="0">
                  <c:v>Credit Card</c:v>
                </c:pt>
                <c:pt idx="1">
                  <c:v>PayPal</c:v>
                </c:pt>
                <c:pt idx="2">
                  <c:v>Debit Card</c:v>
                </c:pt>
              </c:strCache>
            </c:strRef>
          </c:cat>
          <c:val>
            <c:numRef>
              <c:f>'Analysis &amp; Dashboard'!$Q$4:$Q$6</c:f>
              <c:numCache>
                <c:formatCode>General</c:formatCode>
                <c:ptCount val="3"/>
                <c:pt idx="0">
                  <c:v>24512.75</c:v>
                </c:pt>
                <c:pt idx="1">
                  <c:v>12146.679999999998</c:v>
                </c:pt>
                <c:pt idx="2">
                  <c:v>4524.3099999999986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5-4F18-86FD-6AB26DF1A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121119"/>
        <c:axId val="1267148591"/>
        <c:axId val="0"/>
      </c:bar3DChart>
      <c:catAx>
        <c:axId val="1111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148591"/>
        <c:crosses val="autoZero"/>
        <c:auto val="1"/>
        <c:lblAlgn val="ctr"/>
        <c:lblOffset val="100"/>
        <c:noMultiLvlLbl val="0"/>
      </c:catAx>
      <c:valAx>
        <c:axId val="126714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1038225</xdr:colOff>
      <xdr:row>10</xdr:row>
      <xdr:rowOff>4762</xdr:rowOff>
    </xdr:from>
    <xdr:to>
      <xdr:col>7</xdr:col>
      <xdr:colOff>9525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8EC9B-F697-5509-D306-AF8135339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1028699</xdr:colOff>
      <xdr:row>9</xdr:row>
      <xdr:rowOff>242887</xdr:rowOff>
    </xdr:from>
    <xdr:to>
      <xdr:col>12</xdr:col>
      <xdr:colOff>0</xdr:colOff>
      <xdr:row>21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206B5-5FD7-ECE0-F0A8-8D69E81C5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1047749</xdr:colOff>
      <xdr:row>10</xdr:row>
      <xdr:rowOff>4762</xdr:rowOff>
    </xdr:from>
    <xdr:to>
      <xdr:col>17</xdr:col>
      <xdr:colOff>9525</xdr:colOff>
      <xdr:row>21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6A1A5-1FCA-284D-BA37-ADDEC3AF4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0C126-02FC-4002-AE2A-3FA12504BEF0}" name="Table2" displayName="Table2" ref="A3:J102" totalsRowShown="0" headerRowDxfId="20" dataDxfId="22">
  <autoFilter ref="A3:J102" xr:uid="{92A0C126-02FC-4002-AE2A-3FA12504BEF0}"/>
  <tableColumns count="10">
    <tableColumn id="1" xr3:uid="{49644E06-1E52-4297-9B18-A33A8DAA12C8}" name="Transaction ID" dataDxfId="31"/>
    <tableColumn id="2" xr3:uid="{BA1E39CE-F152-4574-BFB6-81BC7975707F}" name="Date" dataDxfId="30"/>
    <tableColumn id="3" xr3:uid="{206A3DED-573F-4B05-BBD9-FFBBBCB7706D}" name="Product Category" dataDxfId="29"/>
    <tableColumn id="4" xr3:uid="{78EB9BDC-1557-48A5-A279-10EA9C5FE8A7}" name="Product Name" dataDxfId="28"/>
    <tableColumn id="5" xr3:uid="{AC775FF3-46A5-405A-93DA-22598F3A9553}" name="Units Sold" dataDxfId="27"/>
    <tableColumn id="6" xr3:uid="{98F0960B-79CA-4D08-AE8E-BCE355C832CD}" name="Unit Price" dataDxfId="26"/>
    <tableColumn id="7" xr3:uid="{9F9AFEA3-DABC-4316-8B39-D4A9FEB04E45}" name="Total Revenue" dataDxfId="25"/>
    <tableColumn id="8" xr3:uid="{50A51AC9-8C94-4897-9B59-AEF016AD9BAB}" name="Region" dataDxfId="24"/>
    <tableColumn id="9" xr3:uid="{C847F2B4-4971-47A9-8A79-B3AF7E0FB295}" name="Payment Method" dataDxfId="23"/>
    <tableColumn id="10" xr3:uid="{A28592FE-C55D-42AE-8DB2-090B5DD3CF2B}" name="Month" dataDxfId="21">
      <calculatedColumnFormula>TEXT(B4,"MMMM")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474A36-FFE3-4408-86F2-6574A332D4A9}" name="Table3" displayName="Table3" ref="A3:B8" totalsRowShown="0">
  <autoFilter ref="A3:B8" xr:uid="{D9474A36-FFE3-4408-86F2-6574A332D4A9}"/>
  <tableColumns count="2">
    <tableColumn id="1" xr3:uid="{74BBA80A-7A74-4D49-B944-280EB6E87A28}" name="Total Revenue" dataDxfId="19"/>
    <tableColumn id="2" xr3:uid="{A37C34F1-D71A-44F6-8D50-BCA68FCE9C3D}" name="41183.74" dataDxfId="18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A57DFF-5BDF-4D34-8256-49B320857375}" name="Table6" displayName="Table6" ref="E3:G9" totalsRowShown="0" headerRowDxfId="12" dataDxfId="11" headerRowBorderDxfId="16" tableBorderDxfId="17">
  <autoFilter ref="E3:G9" xr:uid="{7EA57DFF-5BDF-4D34-8256-49B320857375}"/>
  <tableColumns count="3">
    <tableColumn id="1" xr3:uid="{A325600F-5C22-458A-8D74-FB8A3137090D}" name="Product Category" dataDxfId="15"/>
    <tableColumn id="2" xr3:uid="{DBE59BAE-3DF4-4F88-BF4F-4B0EB8DD0B47}" name="Total Units" dataDxfId="14"/>
    <tableColumn id="3" xr3:uid="{FD4376BD-B6A2-4B21-99CB-C7779EE1ED1F}" name="Total Revenue" dataDxfId="13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4F552A-E6DF-4C68-B981-6DCC451E2E51}" name="Table7" displayName="Table7" ref="J3:L6" totalsRowShown="0" headerRowDxfId="5" dataDxfId="6" tableBorderDxfId="10">
  <autoFilter ref="J3:L6" xr:uid="{A64F552A-E6DF-4C68-B981-6DCC451E2E51}"/>
  <tableColumns count="3">
    <tableColumn id="1" xr3:uid="{2717B67C-8D1F-4339-B222-3762561B1665}" name="Region" dataDxfId="9"/>
    <tableColumn id="2" xr3:uid="{39714DB0-D940-41B2-80CC-EB3E6E1F8A7B}" name="Total Units" dataDxfId="8">
      <calculatedColumnFormula>SUMIF('Online Sales Data'!$H4:$H102,J4,'Online Sales Data'!$E4:$E102)</calculatedColumnFormula>
    </tableColumn>
    <tableColumn id="3" xr3:uid="{881F5C8F-C1A5-44B8-84CD-15F7F8A5BFF3}" name="Total Revenue" dataDxfId="7">
      <calculatedColumnFormula>SUMIF('Online Sales Data'!$H4:$H102,J4,'Online Sales Data'!$G4:$G102)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CF65F6-6976-4A82-AF13-A01C356FB391}" name="Table10" displayName="Table10" ref="O3:Q6" totalsRowShown="0" headerRowDxfId="0" dataDxfId="1">
  <autoFilter ref="O3:Q6" xr:uid="{14CF65F6-6976-4A82-AF13-A01C356FB391}"/>
  <tableColumns count="3">
    <tableColumn id="1" xr3:uid="{04AA4AC0-224F-42F3-8B41-A56933CED964}" name="Payment Method" dataDxfId="4"/>
    <tableColumn id="2" xr3:uid="{CDA8BB9F-74BA-413F-8FAA-3BFC3C7E5356}" name="Transactions" dataDxfId="3"/>
    <tableColumn id="3" xr3:uid="{648718BB-88E6-4B51-84DA-4528DD399B3B}" name="Revenue" dataDxfId="2">
      <calculatedColumnFormula>SUMIF('Online Sales Data'!$I4:$I102,O4,'Online Sales Data'!$G4:$G102)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5DE9-25C0-43B8-BDA1-66DB76D575C4}">
  <dimension ref="A1:M243"/>
  <sheetViews>
    <sheetView tabSelected="1" workbookViewId="0">
      <selection activeCell="C7" sqref="C7"/>
    </sheetView>
  </sheetViews>
  <sheetFormatPr defaultColWidth="15.7109375" defaultRowHeight="20.100000000000001" customHeight="1" x14ac:dyDescent="0.25"/>
  <cols>
    <col min="1" max="1" width="18.85546875" customWidth="1"/>
    <col min="3" max="3" width="22.85546875" customWidth="1"/>
    <col min="4" max="4" width="36.140625" customWidth="1"/>
    <col min="7" max="7" width="21.28515625" customWidth="1"/>
    <col min="9" max="9" width="21.5703125" customWidth="1"/>
  </cols>
  <sheetData>
    <row r="1" spans="1:13" ht="20.100000000000001" customHeight="1" x14ac:dyDescent="0.25">
      <c r="A1" s="4" t="s">
        <v>121</v>
      </c>
      <c r="B1" s="5"/>
      <c r="C1" s="5"/>
      <c r="D1" s="5"/>
      <c r="E1" s="5"/>
      <c r="F1" s="5"/>
      <c r="G1" s="5"/>
      <c r="H1" s="5"/>
      <c r="I1" s="5"/>
      <c r="J1" s="5"/>
    </row>
    <row r="2" spans="1:13" ht="20.100000000000001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3" ht="20.100000000000001" customHeight="1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120</v>
      </c>
    </row>
    <row r="4" spans="1:13" ht="20.100000000000001" customHeight="1" x14ac:dyDescent="0.25">
      <c r="A4" s="2">
        <v>10001</v>
      </c>
      <c r="B4" s="3">
        <v>45292</v>
      </c>
      <c r="C4" s="2" t="s">
        <v>9</v>
      </c>
      <c r="D4" s="2" t="s">
        <v>10</v>
      </c>
      <c r="E4" s="2">
        <v>2</v>
      </c>
      <c r="F4" s="2">
        <v>999.99</v>
      </c>
      <c r="G4" s="2">
        <v>1999.98</v>
      </c>
      <c r="H4" s="2" t="s">
        <v>11</v>
      </c>
      <c r="I4" s="2" t="s">
        <v>12</v>
      </c>
      <c r="J4" s="2" t="str">
        <f>TEXT(B4,"MMMM")</f>
        <v>January</v>
      </c>
    </row>
    <row r="5" spans="1:13" ht="20.100000000000001" customHeight="1" x14ac:dyDescent="0.25">
      <c r="A5" s="2">
        <v>10002</v>
      </c>
      <c r="B5" s="3">
        <v>45293</v>
      </c>
      <c r="C5" s="2" t="s">
        <v>13</v>
      </c>
      <c r="D5" s="2" t="s">
        <v>14</v>
      </c>
      <c r="E5" s="2">
        <v>1</v>
      </c>
      <c r="F5" s="2">
        <v>499.99</v>
      </c>
      <c r="G5" s="2">
        <v>499.99</v>
      </c>
      <c r="H5" s="2" t="s">
        <v>15</v>
      </c>
      <c r="I5" s="2" t="s">
        <v>16</v>
      </c>
      <c r="J5" s="2" t="str">
        <f t="shared" ref="J5:J68" si="0">TEXT(B5,"MMMM")</f>
        <v>January</v>
      </c>
    </row>
    <row r="6" spans="1:13" ht="20.100000000000001" customHeight="1" x14ac:dyDescent="0.25">
      <c r="A6" s="2">
        <v>10003</v>
      </c>
      <c r="B6" s="3">
        <v>45294</v>
      </c>
      <c r="C6" s="2" t="s">
        <v>17</v>
      </c>
      <c r="D6" s="2" t="s">
        <v>18</v>
      </c>
      <c r="E6" s="2">
        <v>3</v>
      </c>
      <c r="F6" s="2">
        <v>69.989999999999995</v>
      </c>
      <c r="G6" s="2">
        <v>209.97</v>
      </c>
      <c r="H6" s="2" t="s">
        <v>19</v>
      </c>
      <c r="I6" s="2" t="s">
        <v>20</v>
      </c>
      <c r="J6" s="2" t="str">
        <f t="shared" si="0"/>
        <v>January</v>
      </c>
    </row>
    <row r="7" spans="1:13" ht="20.100000000000001" customHeight="1" x14ac:dyDescent="0.25">
      <c r="A7" s="2">
        <v>10004</v>
      </c>
      <c r="B7" s="3">
        <v>45295</v>
      </c>
      <c r="C7" s="2" t="s">
        <v>21</v>
      </c>
      <c r="D7" s="2" t="s">
        <v>22</v>
      </c>
      <c r="E7" s="2">
        <v>4</v>
      </c>
      <c r="F7" s="2">
        <v>15.99</v>
      </c>
      <c r="G7" s="2">
        <v>63.96</v>
      </c>
      <c r="H7" s="2" t="s">
        <v>11</v>
      </c>
      <c r="I7" s="2" t="s">
        <v>12</v>
      </c>
      <c r="J7" s="2" t="str">
        <f t="shared" si="0"/>
        <v>January</v>
      </c>
    </row>
    <row r="8" spans="1:13" ht="20.100000000000001" customHeight="1" x14ac:dyDescent="0.25">
      <c r="A8" s="2">
        <v>10005</v>
      </c>
      <c r="B8" s="3">
        <v>45296</v>
      </c>
      <c r="C8" s="2" t="s">
        <v>23</v>
      </c>
      <c r="D8" s="2" t="s">
        <v>24</v>
      </c>
      <c r="E8" s="2">
        <v>1</v>
      </c>
      <c r="F8" s="2">
        <v>89.99</v>
      </c>
      <c r="G8" s="2">
        <v>89.99</v>
      </c>
      <c r="H8" s="2" t="s">
        <v>15</v>
      </c>
      <c r="I8" s="2" t="s">
        <v>16</v>
      </c>
      <c r="J8" s="2" t="str">
        <f t="shared" si="0"/>
        <v>January</v>
      </c>
    </row>
    <row r="9" spans="1:13" ht="20.100000000000001" customHeight="1" x14ac:dyDescent="0.25">
      <c r="A9" s="2">
        <v>10006</v>
      </c>
      <c r="B9" s="3">
        <v>45297</v>
      </c>
      <c r="C9" s="2" t="s">
        <v>25</v>
      </c>
      <c r="D9" s="2" t="s">
        <v>26</v>
      </c>
      <c r="E9" s="2">
        <v>5</v>
      </c>
      <c r="F9" s="2">
        <v>29.99</v>
      </c>
      <c r="G9" s="2">
        <v>149.94999999999999</v>
      </c>
      <c r="H9" s="2" t="s">
        <v>19</v>
      </c>
      <c r="I9" s="2" t="s">
        <v>12</v>
      </c>
      <c r="J9" s="2" t="str">
        <f t="shared" si="0"/>
        <v>January</v>
      </c>
      <c r="M9" s="2"/>
    </row>
    <row r="10" spans="1:13" ht="20.100000000000001" customHeight="1" x14ac:dyDescent="0.25">
      <c r="A10" s="2">
        <v>10007</v>
      </c>
      <c r="B10" s="3">
        <v>45298</v>
      </c>
      <c r="C10" s="2" t="s">
        <v>9</v>
      </c>
      <c r="D10" s="2" t="s">
        <v>27</v>
      </c>
      <c r="E10" s="2">
        <v>1</v>
      </c>
      <c r="F10" s="2">
        <v>2499.9899999999998</v>
      </c>
      <c r="G10" s="2">
        <v>2499.9899999999998</v>
      </c>
      <c r="H10" s="2" t="s">
        <v>11</v>
      </c>
      <c r="I10" s="2" t="s">
        <v>12</v>
      </c>
      <c r="J10" s="2" t="str">
        <f t="shared" si="0"/>
        <v>January</v>
      </c>
    </row>
    <row r="11" spans="1:13" ht="20.100000000000001" customHeight="1" x14ac:dyDescent="0.25">
      <c r="A11" s="2">
        <v>10008</v>
      </c>
      <c r="B11" s="3">
        <v>45299</v>
      </c>
      <c r="C11" s="2" t="s">
        <v>13</v>
      </c>
      <c r="D11" s="2" t="s">
        <v>28</v>
      </c>
      <c r="E11" s="2">
        <v>2</v>
      </c>
      <c r="F11" s="2">
        <v>599.99</v>
      </c>
      <c r="G11" s="2">
        <v>1199.98</v>
      </c>
      <c r="H11" s="2" t="s">
        <v>15</v>
      </c>
      <c r="I11" s="2" t="s">
        <v>16</v>
      </c>
      <c r="J11" s="2" t="str">
        <f t="shared" si="0"/>
        <v>January</v>
      </c>
    </row>
    <row r="12" spans="1:13" ht="20.100000000000001" customHeight="1" x14ac:dyDescent="0.25">
      <c r="A12" s="2">
        <v>10009</v>
      </c>
      <c r="B12" s="3">
        <v>45300</v>
      </c>
      <c r="C12" s="2" t="s">
        <v>17</v>
      </c>
      <c r="D12" s="2" t="s">
        <v>29</v>
      </c>
      <c r="E12" s="2">
        <v>6</v>
      </c>
      <c r="F12" s="2">
        <v>89.99</v>
      </c>
      <c r="G12" s="2">
        <v>539.94000000000005</v>
      </c>
      <c r="H12" s="2" t="s">
        <v>19</v>
      </c>
      <c r="I12" s="2" t="s">
        <v>20</v>
      </c>
      <c r="J12" s="2" t="str">
        <f t="shared" si="0"/>
        <v>January</v>
      </c>
    </row>
    <row r="13" spans="1:13" ht="20.100000000000001" customHeight="1" x14ac:dyDescent="0.25">
      <c r="A13" s="2">
        <v>10010</v>
      </c>
      <c r="B13" s="3">
        <v>45301</v>
      </c>
      <c r="C13" s="2" t="s">
        <v>21</v>
      </c>
      <c r="D13" s="2" t="s">
        <v>30</v>
      </c>
      <c r="E13" s="2">
        <v>2</v>
      </c>
      <c r="F13" s="2">
        <v>25.99</v>
      </c>
      <c r="G13" s="2">
        <v>51.98</v>
      </c>
      <c r="H13" s="2" t="s">
        <v>11</v>
      </c>
      <c r="I13" s="2" t="s">
        <v>12</v>
      </c>
      <c r="J13" s="2" t="str">
        <f t="shared" si="0"/>
        <v>January</v>
      </c>
    </row>
    <row r="14" spans="1:13" ht="20.100000000000001" customHeight="1" x14ac:dyDescent="0.25">
      <c r="A14" s="2">
        <v>10011</v>
      </c>
      <c r="B14" s="3">
        <v>45302</v>
      </c>
      <c r="C14" s="2" t="s">
        <v>23</v>
      </c>
      <c r="D14" s="2" t="s">
        <v>31</v>
      </c>
      <c r="E14" s="2">
        <v>1</v>
      </c>
      <c r="F14" s="2">
        <v>129.99</v>
      </c>
      <c r="G14" s="2">
        <v>129.99</v>
      </c>
      <c r="H14" s="2" t="s">
        <v>15</v>
      </c>
      <c r="I14" s="2" t="s">
        <v>16</v>
      </c>
      <c r="J14" s="2" t="str">
        <f t="shared" si="0"/>
        <v>January</v>
      </c>
    </row>
    <row r="15" spans="1:13" ht="20.100000000000001" customHeight="1" x14ac:dyDescent="0.25">
      <c r="A15" s="2">
        <v>10012</v>
      </c>
      <c r="B15" s="3">
        <v>45303</v>
      </c>
      <c r="C15" s="2" t="s">
        <v>25</v>
      </c>
      <c r="D15" s="2" t="s">
        <v>32</v>
      </c>
      <c r="E15" s="2">
        <v>3</v>
      </c>
      <c r="F15" s="2">
        <v>199.99</v>
      </c>
      <c r="G15" s="2">
        <v>599.97</v>
      </c>
      <c r="H15" s="2" t="s">
        <v>19</v>
      </c>
      <c r="I15" s="2" t="s">
        <v>12</v>
      </c>
      <c r="J15" s="2" t="str">
        <f t="shared" si="0"/>
        <v>January</v>
      </c>
    </row>
    <row r="16" spans="1:13" ht="20.100000000000001" customHeight="1" x14ac:dyDescent="0.25">
      <c r="A16" s="2">
        <v>10013</v>
      </c>
      <c r="B16" s="3">
        <v>45304</v>
      </c>
      <c r="C16" s="2" t="s">
        <v>9</v>
      </c>
      <c r="D16" s="2" t="s">
        <v>33</v>
      </c>
      <c r="E16" s="2">
        <v>2</v>
      </c>
      <c r="F16" s="2">
        <v>749.99</v>
      </c>
      <c r="G16" s="2">
        <v>1499.98</v>
      </c>
      <c r="H16" s="2" t="s">
        <v>11</v>
      </c>
      <c r="I16" s="2" t="s">
        <v>12</v>
      </c>
      <c r="J16" s="2" t="str">
        <f t="shared" si="0"/>
        <v>January</v>
      </c>
    </row>
    <row r="17" spans="1:10" ht="20.100000000000001" customHeight="1" x14ac:dyDescent="0.25">
      <c r="A17" s="2">
        <v>10014</v>
      </c>
      <c r="B17" s="3">
        <v>45305</v>
      </c>
      <c r="C17" s="2" t="s">
        <v>13</v>
      </c>
      <c r="D17" s="2" t="s">
        <v>34</v>
      </c>
      <c r="E17" s="2">
        <v>1</v>
      </c>
      <c r="F17" s="2">
        <v>189.99</v>
      </c>
      <c r="G17" s="2">
        <v>189.99</v>
      </c>
      <c r="H17" s="2" t="s">
        <v>15</v>
      </c>
      <c r="I17" s="2" t="s">
        <v>16</v>
      </c>
      <c r="J17" s="2" t="str">
        <f t="shared" si="0"/>
        <v>January</v>
      </c>
    </row>
    <row r="18" spans="1:10" ht="20.100000000000001" customHeight="1" x14ac:dyDescent="0.25">
      <c r="A18" s="2">
        <v>10015</v>
      </c>
      <c r="B18" s="3">
        <v>45306</v>
      </c>
      <c r="C18" s="2" t="s">
        <v>17</v>
      </c>
      <c r="D18" s="2" t="s">
        <v>35</v>
      </c>
      <c r="E18" s="2">
        <v>2</v>
      </c>
      <c r="F18" s="2">
        <v>249.99</v>
      </c>
      <c r="G18" s="2">
        <v>499.98</v>
      </c>
      <c r="H18" s="2" t="s">
        <v>19</v>
      </c>
      <c r="I18" s="2" t="s">
        <v>20</v>
      </c>
      <c r="J18" s="2" t="str">
        <f t="shared" si="0"/>
        <v>January</v>
      </c>
    </row>
    <row r="19" spans="1:10" ht="20.100000000000001" customHeight="1" x14ac:dyDescent="0.25">
      <c r="A19" s="2">
        <v>10016</v>
      </c>
      <c r="B19" s="3">
        <v>45307</v>
      </c>
      <c r="C19" s="2" t="s">
        <v>21</v>
      </c>
      <c r="D19" s="2" t="s">
        <v>36</v>
      </c>
      <c r="E19" s="2">
        <v>3</v>
      </c>
      <c r="F19" s="2">
        <v>35.99</v>
      </c>
      <c r="G19" s="2">
        <v>107.97</v>
      </c>
      <c r="H19" s="2" t="s">
        <v>11</v>
      </c>
      <c r="I19" s="2" t="s">
        <v>12</v>
      </c>
      <c r="J19" s="2" t="str">
        <f t="shared" si="0"/>
        <v>January</v>
      </c>
    </row>
    <row r="20" spans="1:10" ht="20.100000000000001" customHeight="1" x14ac:dyDescent="0.25">
      <c r="A20" s="2">
        <v>10017</v>
      </c>
      <c r="B20" s="3">
        <v>45308</v>
      </c>
      <c r="C20" s="2" t="s">
        <v>23</v>
      </c>
      <c r="D20" s="2" t="s">
        <v>37</v>
      </c>
      <c r="E20" s="2">
        <v>1</v>
      </c>
      <c r="F20" s="2">
        <v>399.99</v>
      </c>
      <c r="G20" s="2">
        <v>399.99</v>
      </c>
      <c r="H20" s="2" t="s">
        <v>15</v>
      </c>
      <c r="I20" s="2" t="s">
        <v>16</v>
      </c>
      <c r="J20" s="2" t="str">
        <f t="shared" si="0"/>
        <v>January</v>
      </c>
    </row>
    <row r="21" spans="1:10" ht="20.100000000000001" customHeight="1" x14ac:dyDescent="0.25">
      <c r="A21" s="2">
        <v>10018</v>
      </c>
      <c r="B21" s="3">
        <v>45309</v>
      </c>
      <c r="C21" s="2" t="s">
        <v>25</v>
      </c>
      <c r="D21" s="2" t="s">
        <v>38</v>
      </c>
      <c r="E21" s="2">
        <v>4</v>
      </c>
      <c r="F21" s="2">
        <v>119.99</v>
      </c>
      <c r="G21" s="2">
        <v>479.96</v>
      </c>
      <c r="H21" s="2" t="s">
        <v>19</v>
      </c>
      <c r="I21" s="2" t="s">
        <v>12</v>
      </c>
      <c r="J21" s="2" t="str">
        <f t="shared" si="0"/>
        <v>January</v>
      </c>
    </row>
    <row r="22" spans="1:10" ht="20.100000000000001" customHeight="1" x14ac:dyDescent="0.25">
      <c r="A22" s="2">
        <v>10019</v>
      </c>
      <c r="B22" s="3">
        <v>45310</v>
      </c>
      <c r="C22" s="2" t="s">
        <v>9</v>
      </c>
      <c r="D22" s="2" t="s">
        <v>39</v>
      </c>
      <c r="E22" s="2">
        <v>2</v>
      </c>
      <c r="F22" s="2">
        <v>499.99</v>
      </c>
      <c r="G22" s="2">
        <v>999.98</v>
      </c>
      <c r="H22" s="2" t="s">
        <v>11</v>
      </c>
      <c r="I22" s="2" t="s">
        <v>12</v>
      </c>
      <c r="J22" s="2" t="str">
        <f t="shared" si="0"/>
        <v>January</v>
      </c>
    </row>
    <row r="23" spans="1:10" ht="20.100000000000001" customHeight="1" x14ac:dyDescent="0.25">
      <c r="A23" s="2">
        <v>10020</v>
      </c>
      <c r="B23" s="3">
        <v>45311</v>
      </c>
      <c r="C23" s="2" t="s">
        <v>13</v>
      </c>
      <c r="D23" s="2" t="s">
        <v>40</v>
      </c>
      <c r="E23" s="2">
        <v>1</v>
      </c>
      <c r="F23" s="2">
        <v>99.99</v>
      </c>
      <c r="G23" s="2">
        <v>99.99</v>
      </c>
      <c r="H23" s="2" t="s">
        <v>15</v>
      </c>
      <c r="I23" s="2" t="s">
        <v>16</v>
      </c>
      <c r="J23" s="2" t="str">
        <f t="shared" si="0"/>
        <v>January</v>
      </c>
    </row>
    <row r="24" spans="1:10" ht="20.100000000000001" customHeight="1" x14ac:dyDescent="0.25">
      <c r="A24" s="2">
        <v>10021</v>
      </c>
      <c r="B24" s="3">
        <v>45312</v>
      </c>
      <c r="C24" s="2" t="s">
        <v>17</v>
      </c>
      <c r="D24" s="2" t="s">
        <v>41</v>
      </c>
      <c r="E24" s="2">
        <v>3</v>
      </c>
      <c r="F24" s="2">
        <v>59.99</v>
      </c>
      <c r="G24" s="2">
        <v>179.97</v>
      </c>
      <c r="H24" s="2" t="s">
        <v>19</v>
      </c>
      <c r="I24" s="2" t="s">
        <v>20</v>
      </c>
      <c r="J24" s="2" t="str">
        <f t="shared" si="0"/>
        <v>January</v>
      </c>
    </row>
    <row r="25" spans="1:10" ht="20.100000000000001" customHeight="1" x14ac:dyDescent="0.25">
      <c r="A25" s="2">
        <v>10022</v>
      </c>
      <c r="B25" s="3">
        <v>45313</v>
      </c>
      <c r="C25" s="2" t="s">
        <v>21</v>
      </c>
      <c r="D25" s="2" t="s">
        <v>42</v>
      </c>
      <c r="E25" s="2">
        <v>2</v>
      </c>
      <c r="F25" s="2">
        <v>22.99</v>
      </c>
      <c r="G25" s="2">
        <v>45.98</v>
      </c>
      <c r="H25" s="2" t="s">
        <v>11</v>
      </c>
      <c r="I25" s="2" t="s">
        <v>12</v>
      </c>
      <c r="J25" s="2" t="str">
        <f t="shared" si="0"/>
        <v>January</v>
      </c>
    </row>
    <row r="26" spans="1:10" ht="20.100000000000001" customHeight="1" x14ac:dyDescent="0.25">
      <c r="A26" s="2">
        <v>10023</v>
      </c>
      <c r="B26" s="3">
        <v>45314</v>
      </c>
      <c r="C26" s="2" t="s">
        <v>23</v>
      </c>
      <c r="D26" s="2" t="s">
        <v>43</v>
      </c>
      <c r="E26" s="2">
        <v>1</v>
      </c>
      <c r="F26" s="2">
        <v>49.99</v>
      </c>
      <c r="G26" s="2">
        <v>49.99</v>
      </c>
      <c r="H26" s="2" t="s">
        <v>15</v>
      </c>
      <c r="I26" s="2" t="s">
        <v>16</v>
      </c>
      <c r="J26" s="2" t="str">
        <f t="shared" si="0"/>
        <v>January</v>
      </c>
    </row>
    <row r="27" spans="1:10" ht="20.100000000000001" customHeight="1" x14ac:dyDescent="0.25">
      <c r="A27" s="2">
        <v>10024</v>
      </c>
      <c r="B27" s="3">
        <v>45315</v>
      </c>
      <c r="C27" s="2" t="s">
        <v>25</v>
      </c>
      <c r="D27" s="2" t="s">
        <v>44</v>
      </c>
      <c r="E27" s="2">
        <v>3</v>
      </c>
      <c r="F27" s="2">
        <v>29.99</v>
      </c>
      <c r="G27" s="2">
        <v>89.97</v>
      </c>
      <c r="H27" s="2" t="s">
        <v>19</v>
      </c>
      <c r="I27" s="2" t="s">
        <v>12</v>
      </c>
      <c r="J27" s="2" t="str">
        <f t="shared" si="0"/>
        <v>January</v>
      </c>
    </row>
    <row r="28" spans="1:10" ht="20.100000000000001" customHeight="1" x14ac:dyDescent="0.25">
      <c r="A28" s="2">
        <v>10025</v>
      </c>
      <c r="B28" s="3">
        <v>45316</v>
      </c>
      <c r="C28" s="2" t="s">
        <v>9</v>
      </c>
      <c r="D28" s="2" t="s">
        <v>45</v>
      </c>
      <c r="E28" s="2">
        <v>1</v>
      </c>
      <c r="F28" s="2">
        <v>299.99</v>
      </c>
      <c r="G28" s="2">
        <v>299.99</v>
      </c>
      <c r="H28" s="2" t="s">
        <v>11</v>
      </c>
      <c r="I28" s="2" t="s">
        <v>12</v>
      </c>
      <c r="J28" s="2" t="str">
        <f t="shared" si="0"/>
        <v>January</v>
      </c>
    </row>
    <row r="29" spans="1:10" ht="20.100000000000001" customHeight="1" x14ac:dyDescent="0.25">
      <c r="A29" s="2">
        <v>10026</v>
      </c>
      <c r="B29" s="3">
        <v>45317</v>
      </c>
      <c r="C29" s="2" t="s">
        <v>13</v>
      </c>
      <c r="D29" s="2" t="s">
        <v>46</v>
      </c>
      <c r="E29" s="2">
        <v>1</v>
      </c>
      <c r="F29" s="2">
        <v>179.99</v>
      </c>
      <c r="G29" s="2">
        <v>179.99</v>
      </c>
      <c r="H29" s="2" t="s">
        <v>15</v>
      </c>
      <c r="I29" s="2" t="s">
        <v>16</v>
      </c>
      <c r="J29" s="2" t="str">
        <f t="shared" si="0"/>
        <v>January</v>
      </c>
    </row>
    <row r="30" spans="1:10" ht="20.100000000000001" customHeight="1" x14ac:dyDescent="0.25">
      <c r="A30" s="2">
        <v>10027</v>
      </c>
      <c r="B30" s="3">
        <v>45318</v>
      </c>
      <c r="C30" s="2" t="s">
        <v>17</v>
      </c>
      <c r="D30" s="2" t="s">
        <v>47</v>
      </c>
      <c r="E30" s="2">
        <v>2</v>
      </c>
      <c r="F30" s="2">
        <v>179.99</v>
      </c>
      <c r="G30" s="2">
        <v>359.98</v>
      </c>
      <c r="H30" s="2" t="s">
        <v>19</v>
      </c>
      <c r="I30" s="2" t="s">
        <v>20</v>
      </c>
      <c r="J30" s="2" t="str">
        <f t="shared" si="0"/>
        <v>January</v>
      </c>
    </row>
    <row r="31" spans="1:10" ht="20.100000000000001" customHeight="1" x14ac:dyDescent="0.25">
      <c r="A31" s="2">
        <v>10028</v>
      </c>
      <c r="B31" s="3">
        <v>45319</v>
      </c>
      <c r="C31" s="2" t="s">
        <v>21</v>
      </c>
      <c r="D31" s="2" t="s">
        <v>48</v>
      </c>
      <c r="E31" s="2">
        <v>3</v>
      </c>
      <c r="F31" s="2">
        <v>12.99</v>
      </c>
      <c r="G31" s="2">
        <v>38.97</v>
      </c>
      <c r="H31" s="2" t="s">
        <v>11</v>
      </c>
      <c r="I31" s="2" t="s">
        <v>12</v>
      </c>
      <c r="J31" s="2" t="str">
        <f t="shared" si="0"/>
        <v>January</v>
      </c>
    </row>
    <row r="32" spans="1:10" ht="20.100000000000001" customHeight="1" x14ac:dyDescent="0.25">
      <c r="A32" s="2">
        <v>10029</v>
      </c>
      <c r="B32" s="3">
        <v>45320</v>
      </c>
      <c r="C32" s="2" t="s">
        <v>23</v>
      </c>
      <c r="D32" s="2" t="s">
        <v>49</v>
      </c>
      <c r="E32" s="2">
        <v>1</v>
      </c>
      <c r="F32" s="2">
        <v>29.99</v>
      </c>
      <c r="G32" s="2">
        <v>29.99</v>
      </c>
      <c r="H32" s="2" t="s">
        <v>15</v>
      </c>
      <c r="I32" s="2" t="s">
        <v>16</v>
      </c>
      <c r="J32" s="2" t="str">
        <f t="shared" si="0"/>
        <v>January</v>
      </c>
    </row>
    <row r="33" spans="1:10" ht="20.100000000000001" customHeight="1" x14ac:dyDescent="0.25">
      <c r="A33" s="2">
        <v>10030</v>
      </c>
      <c r="B33" s="3">
        <v>45321</v>
      </c>
      <c r="C33" s="2" t="s">
        <v>25</v>
      </c>
      <c r="D33" s="2" t="s">
        <v>50</v>
      </c>
      <c r="E33" s="2">
        <v>2</v>
      </c>
      <c r="F33" s="2">
        <v>129.99</v>
      </c>
      <c r="G33" s="2">
        <v>259.98</v>
      </c>
      <c r="H33" s="2" t="s">
        <v>19</v>
      </c>
      <c r="I33" s="2" t="s">
        <v>12</v>
      </c>
      <c r="J33" s="2" t="str">
        <f t="shared" si="0"/>
        <v>January</v>
      </c>
    </row>
    <row r="34" spans="1:10" ht="20.100000000000001" customHeight="1" x14ac:dyDescent="0.25">
      <c r="A34" s="2">
        <v>10031</v>
      </c>
      <c r="B34" s="3">
        <v>45322</v>
      </c>
      <c r="C34" s="2" t="s">
        <v>9</v>
      </c>
      <c r="D34" s="2" t="s">
        <v>51</v>
      </c>
      <c r="E34" s="2">
        <v>2</v>
      </c>
      <c r="F34" s="2">
        <v>349.99</v>
      </c>
      <c r="G34" s="2">
        <v>699.98</v>
      </c>
      <c r="H34" s="2" t="s">
        <v>11</v>
      </c>
      <c r="I34" s="2" t="s">
        <v>12</v>
      </c>
      <c r="J34" s="2" t="str">
        <f t="shared" si="0"/>
        <v>January</v>
      </c>
    </row>
    <row r="35" spans="1:10" ht="20.100000000000001" customHeight="1" x14ac:dyDescent="0.25">
      <c r="A35" s="2">
        <v>10032</v>
      </c>
      <c r="B35" s="3">
        <v>45323</v>
      </c>
      <c r="C35" s="2" t="s">
        <v>13</v>
      </c>
      <c r="D35" s="2" t="s">
        <v>52</v>
      </c>
      <c r="E35" s="2">
        <v>3</v>
      </c>
      <c r="F35" s="2">
        <v>89.99</v>
      </c>
      <c r="G35" s="2">
        <v>269.97000000000003</v>
      </c>
      <c r="H35" s="2" t="s">
        <v>15</v>
      </c>
      <c r="I35" s="2" t="s">
        <v>16</v>
      </c>
      <c r="J35" s="2" t="str">
        <f t="shared" si="0"/>
        <v>February</v>
      </c>
    </row>
    <row r="36" spans="1:10" ht="20.100000000000001" customHeight="1" x14ac:dyDescent="0.25">
      <c r="A36" s="2">
        <v>10033</v>
      </c>
      <c r="B36" s="3">
        <v>45324</v>
      </c>
      <c r="C36" s="2" t="s">
        <v>17</v>
      </c>
      <c r="D36" s="2" t="s">
        <v>53</v>
      </c>
      <c r="E36" s="2">
        <v>5</v>
      </c>
      <c r="F36" s="2">
        <v>29.99</v>
      </c>
      <c r="G36" s="2">
        <v>149.94999999999999</v>
      </c>
      <c r="H36" s="2" t="s">
        <v>19</v>
      </c>
      <c r="I36" s="2" t="s">
        <v>20</v>
      </c>
      <c r="J36" s="2" t="str">
        <f t="shared" si="0"/>
        <v>February</v>
      </c>
    </row>
    <row r="37" spans="1:10" ht="20.100000000000001" customHeight="1" x14ac:dyDescent="0.25">
      <c r="A37" s="2">
        <v>10034</v>
      </c>
      <c r="B37" s="3">
        <v>45325</v>
      </c>
      <c r="C37" s="2" t="s">
        <v>21</v>
      </c>
      <c r="D37" s="2" t="s">
        <v>54</v>
      </c>
      <c r="E37" s="2">
        <v>4</v>
      </c>
      <c r="F37" s="2">
        <v>19.989999999999998</v>
      </c>
      <c r="G37" s="2">
        <v>79.959999999999994</v>
      </c>
      <c r="H37" s="2" t="s">
        <v>11</v>
      </c>
      <c r="I37" s="2" t="s">
        <v>12</v>
      </c>
      <c r="J37" s="2" t="str">
        <f t="shared" si="0"/>
        <v>February</v>
      </c>
    </row>
    <row r="38" spans="1:10" ht="20.100000000000001" customHeight="1" x14ac:dyDescent="0.25">
      <c r="A38" s="2">
        <v>10035</v>
      </c>
      <c r="B38" s="3">
        <v>45326</v>
      </c>
      <c r="C38" s="2" t="s">
        <v>23</v>
      </c>
      <c r="D38" s="2" t="s">
        <v>55</v>
      </c>
      <c r="E38" s="2">
        <v>2</v>
      </c>
      <c r="F38" s="2">
        <v>39.99</v>
      </c>
      <c r="G38" s="2">
        <v>79.98</v>
      </c>
      <c r="H38" s="2" t="s">
        <v>15</v>
      </c>
      <c r="I38" s="2" t="s">
        <v>16</v>
      </c>
      <c r="J38" s="2" t="str">
        <f t="shared" si="0"/>
        <v>February</v>
      </c>
    </row>
    <row r="39" spans="1:10" ht="20.100000000000001" customHeight="1" x14ac:dyDescent="0.25">
      <c r="A39" s="2">
        <v>10036</v>
      </c>
      <c r="B39" s="3">
        <v>45327</v>
      </c>
      <c r="C39" s="2" t="s">
        <v>25</v>
      </c>
      <c r="D39" s="2" t="s">
        <v>56</v>
      </c>
      <c r="E39" s="2">
        <v>1</v>
      </c>
      <c r="F39" s="2">
        <v>1895</v>
      </c>
      <c r="G39" s="2">
        <v>1895</v>
      </c>
      <c r="H39" s="2" t="s">
        <v>19</v>
      </c>
      <c r="I39" s="2" t="s">
        <v>12</v>
      </c>
      <c r="J39" s="2" t="str">
        <f t="shared" si="0"/>
        <v>February</v>
      </c>
    </row>
    <row r="40" spans="1:10" ht="20.100000000000001" customHeight="1" x14ac:dyDescent="0.25">
      <c r="A40" s="2">
        <v>10037</v>
      </c>
      <c r="B40" s="3">
        <v>45328</v>
      </c>
      <c r="C40" s="2" t="s">
        <v>9</v>
      </c>
      <c r="D40" s="2" t="s">
        <v>57</v>
      </c>
      <c r="E40" s="2">
        <v>3</v>
      </c>
      <c r="F40" s="2">
        <v>399.99</v>
      </c>
      <c r="G40" s="2">
        <v>1199.97</v>
      </c>
      <c r="H40" s="2" t="s">
        <v>11</v>
      </c>
      <c r="I40" s="2" t="s">
        <v>12</v>
      </c>
      <c r="J40" s="2" t="str">
        <f t="shared" si="0"/>
        <v>February</v>
      </c>
    </row>
    <row r="41" spans="1:10" ht="20.100000000000001" customHeight="1" x14ac:dyDescent="0.25">
      <c r="A41" s="2">
        <v>10038</v>
      </c>
      <c r="B41" s="3">
        <v>45329</v>
      </c>
      <c r="C41" s="2" t="s">
        <v>13</v>
      </c>
      <c r="D41" s="2" t="s">
        <v>58</v>
      </c>
      <c r="E41" s="2">
        <v>2</v>
      </c>
      <c r="F41" s="2">
        <v>799.99</v>
      </c>
      <c r="G41" s="2">
        <v>1599.98</v>
      </c>
      <c r="H41" s="2" t="s">
        <v>15</v>
      </c>
      <c r="I41" s="2" t="s">
        <v>16</v>
      </c>
      <c r="J41" s="2" t="str">
        <f t="shared" si="0"/>
        <v>February</v>
      </c>
    </row>
    <row r="42" spans="1:10" ht="20.100000000000001" customHeight="1" x14ac:dyDescent="0.25">
      <c r="A42" s="2">
        <v>10039</v>
      </c>
      <c r="B42" s="3">
        <v>45330</v>
      </c>
      <c r="C42" s="2" t="s">
        <v>17</v>
      </c>
      <c r="D42" s="2" t="s">
        <v>59</v>
      </c>
      <c r="E42" s="2">
        <v>4</v>
      </c>
      <c r="F42" s="2">
        <v>59.99</v>
      </c>
      <c r="G42" s="2">
        <v>239.96</v>
      </c>
      <c r="H42" s="2" t="s">
        <v>19</v>
      </c>
      <c r="I42" s="2" t="s">
        <v>20</v>
      </c>
      <c r="J42" s="2" t="str">
        <f t="shared" si="0"/>
        <v>February</v>
      </c>
    </row>
    <row r="43" spans="1:10" ht="20.100000000000001" customHeight="1" x14ac:dyDescent="0.25">
      <c r="A43" s="2">
        <v>10040</v>
      </c>
      <c r="B43" s="3">
        <v>45331</v>
      </c>
      <c r="C43" s="2" t="s">
        <v>21</v>
      </c>
      <c r="D43" s="2" t="s">
        <v>60</v>
      </c>
      <c r="E43" s="2">
        <v>3</v>
      </c>
      <c r="F43" s="2">
        <v>24.99</v>
      </c>
      <c r="G43" s="2">
        <v>74.97</v>
      </c>
      <c r="H43" s="2" t="s">
        <v>11</v>
      </c>
      <c r="I43" s="2" t="s">
        <v>12</v>
      </c>
      <c r="J43" s="2" t="str">
        <f t="shared" si="0"/>
        <v>February</v>
      </c>
    </row>
    <row r="44" spans="1:10" ht="20.100000000000001" customHeight="1" x14ac:dyDescent="0.25">
      <c r="A44" s="2">
        <v>10041</v>
      </c>
      <c r="B44" s="3">
        <v>45332</v>
      </c>
      <c r="C44" s="2" t="s">
        <v>23</v>
      </c>
      <c r="D44" s="2" t="s">
        <v>61</v>
      </c>
      <c r="E44" s="2">
        <v>1</v>
      </c>
      <c r="F44" s="2">
        <v>105</v>
      </c>
      <c r="G44" s="2">
        <v>105</v>
      </c>
      <c r="H44" s="2" t="s">
        <v>15</v>
      </c>
      <c r="I44" s="2" t="s">
        <v>16</v>
      </c>
      <c r="J44" s="2" t="str">
        <f t="shared" si="0"/>
        <v>February</v>
      </c>
    </row>
    <row r="45" spans="1:10" ht="20.100000000000001" customHeight="1" x14ac:dyDescent="0.25">
      <c r="A45" s="2">
        <v>10042</v>
      </c>
      <c r="B45" s="3">
        <v>45333</v>
      </c>
      <c r="C45" s="2" t="s">
        <v>25</v>
      </c>
      <c r="D45" s="2" t="s">
        <v>62</v>
      </c>
      <c r="E45" s="2">
        <v>2</v>
      </c>
      <c r="F45" s="2">
        <v>129.99</v>
      </c>
      <c r="G45" s="2">
        <v>259.98</v>
      </c>
      <c r="H45" s="2" t="s">
        <v>19</v>
      </c>
      <c r="I45" s="2" t="s">
        <v>12</v>
      </c>
      <c r="J45" s="2" t="str">
        <f t="shared" si="0"/>
        <v>February</v>
      </c>
    </row>
    <row r="46" spans="1:10" ht="20.100000000000001" customHeight="1" x14ac:dyDescent="0.25">
      <c r="A46" s="2">
        <v>10043</v>
      </c>
      <c r="B46" s="3">
        <v>45334</v>
      </c>
      <c r="C46" s="2" t="s">
        <v>9</v>
      </c>
      <c r="D46" s="2" t="s">
        <v>63</v>
      </c>
      <c r="E46" s="2">
        <v>3</v>
      </c>
      <c r="F46" s="2">
        <v>399.99</v>
      </c>
      <c r="G46" s="2">
        <v>1199.97</v>
      </c>
      <c r="H46" s="2" t="s">
        <v>11</v>
      </c>
      <c r="I46" s="2" t="s">
        <v>12</v>
      </c>
      <c r="J46" s="2" t="str">
        <f t="shared" si="0"/>
        <v>February</v>
      </c>
    </row>
    <row r="47" spans="1:10" ht="20.100000000000001" customHeight="1" x14ac:dyDescent="0.25">
      <c r="A47" s="2">
        <v>10044</v>
      </c>
      <c r="B47" s="3">
        <v>45335</v>
      </c>
      <c r="C47" s="2" t="s">
        <v>13</v>
      </c>
      <c r="D47" s="2" t="s">
        <v>64</v>
      </c>
      <c r="E47" s="2">
        <v>1</v>
      </c>
      <c r="F47" s="2">
        <v>199.99</v>
      </c>
      <c r="G47" s="2">
        <v>199.99</v>
      </c>
      <c r="H47" s="2" t="s">
        <v>15</v>
      </c>
      <c r="I47" s="2" t="s">
        <v>16</v>
      </c>
      <c r="J47" s="2" t="str">
        <f t="shared" si="0"/>
        <v>February</v>
      </c>
    </row>
    <row r="48" spans="1:10" ht="20.100000000000001" customHeight="1" x14ac:dyDescent="0.25">
      <c r="A48" s="2">
        <v>10045</v>
      </c>
      <c r="B48" s="3">
        <v>45336</v>
      </c>
      <c r="C48" s="2" t="s">
        <v>17</v>
      </c>
      <c r="D48" s="2" t="s">
        <v>65</v>
      </c>
      <c r="E48" s="2">
        <v>2</v>
      </c>
      <c r="F48" s="2">
        <v>139.99</v>
      </c>
      <c r="G48" s="2">
        <v>279.98</v>
      </c>
      <c r="H48" s="2" t="s">
        <v>19</v>
      </c>
      <c r="I48" s="2" t="s">
        <v>20</v>
      </c>
      <c r="J48" s="2" t="str">
        <f t="shared" si="0"/>
        <v>February</v>
      </c>
    </row>
    <row r="49" spans="1:10" ht="20.100000000000001" customHeight="1" x14ac:dyDescent="0.25">
      <c r="A49" s="2">
        <v>10046</v>
      </c>
      <c r="B49" s="3">
        <v>45337</v>
      </c>
      <c r="C49" s="2" t="s">
        <v>21</v>
      </c>
      <c r="D49" s="2" t="s">
        <v>66</v>
      </c>
      <c r="E49" s="2">
        <v>4</v>
      </c>
      <c r="F49" s="2">
        <v>32.5</v>
      </c>
      <c r="G49" s="2">
        <v>130</v>
      </c>
      <c r="H49" s="2" t="s">
        <v>11</v>
      </c>
      <c r="I49" s="2" t="s">
        <v>12</v>
      </c>
      <c r="J49" s="2" t="str">
        <f t="shared" si="0"/>
        <v>February</v>
      </c>
    </row>
    <row r="50" spans="1:10" ht="20.100000000000001" customHeight="1" x14ac:dyDescent="0.25">
      <c r="A50" s="2">
        <v>10047</v>
      </c>
      <c r="B50" s="3">
        <v>45338</v>
      </c>
      <c r="C50" s="2" t="s">
        <v>23</v>
      </c>
      <c r="D50" s="2" t="s">
        <v>67</v>
      </c>
      <c r="E50" s="2">
        <v>1</v>
      </c>
      <c r="F50" s="2">
        <v>52</v>
      </c>
      <c r="G50" s="2">
        <v>52</v>
      </c>
      <c r="H50" s="2" t="s">
        <v>15</v>
      </c>
      <c r="I50" s="2" t="s">
        <v>16</v>
      </c>
      <c r="J50" s="2" t="str">
        <f t="shared" si="0"/>
        <v>February</v>
      </c>
    </row>
    <row r="51" spans="1:10" ht="20.100000000000001" customHeight="1" x14ac:dyDescent="0.25">
      <c r="A51" s="2">
        <v>10048</v>
      </c>
      <c r="B51" s="3">
        <v>45339</v>
      </c>
      <c r="C51" s="2" t="s">
        <v>25</v>
      </c>
      <c r="D51" s="2" t="s">
        <v>68</v>
      </c>
      <c r="E51" s="2">
        <v>6</v>
      </c>
      <c r="F51" s="2">
        <v>39.99</v>
      </c>
      <c r="G51" s="2">
        <v>239.94</v>
      </c>
      <c r="H51" s="2" t="s">
        <v>19</v>
      </c>
      <c r="I51" s="2" t="s">
        <v>12</v>
      </c>
      <c r="J51" s="2" t="str">
        <f t="shared" si="0"/>
        <v>February</v>
      </c>
    </row>
    <row r="52" spans="1:10" ht="20.100000000000001" customHeight="1" x14ac:dyDescent="0.25">
      <c r="A52" s="2">
        <v>10049</v>
      </c>
      <c r="B52" s="3">
        <v>45340</v>
      </c>
      <c r="C52" s="2" t="s">
        <v>9</v>
      </c>
      <c r="D52" s="2" t="s">
        <v>69</v>
      </c>
      <c r="E52" s="2">
        <v>2</v>
      </c>
      <c r="F52" s="2">
        <v>129.99</v>
      </c>
      <c r="G52" s="2">
        <v>259.98</v>
      </c>
      <c r="H52" s="2" t="s">
        <v>11</v>
      </c>
      <c r="I52" s="2" t="s">
        <v>12</v>
      </c>
      <c r="J52" s="2" t="str">
        <f t="shared" si="0"/>
        <v>February</v>
      </c>
    </row>
    <row r="53" spans="1:10" ht="20.100000000000001" customHeight="1" x14ac:dyDescent="0.25">
      <c r="A53" s="2">
        <v>10050</v>
      </c>
      <c r="B53" s="3">
        <v>45341</v>
      </c>
      <c r="C53" s="2" t="s">
        <v>13</v>
      </c>
      <c r="D53" s="2" t="s">
        <v>70</v>
      </c>
      <c r="E53" s="2">
        <v>1</v>
      </c>
      <c r="F53" s="2">
        <v>299.99</v>
      </c>
      <c r="G53" s="2">
        <v>299.99</v>
      </c>
      <c r="H53" s="2" t="s">
        <v>15</v>
      </c>
      <c r="I53" s="2" t="s">
        <v>16</v>
      </c>
      <c r="J53" s="2" t="str">
        <f t="shared" si="0"/>
        <v>February</v>
      </c>
    </row>
    <row r="54" spans="1:10" ht="20.100000000000001" customHeight="1" x14ac:dyDescent="0.25">
      <c r="A54" s="2">
        <v>10051</v>
      </c>
      <c r="B54" s="3">
        <v>45342</v>
      </c>
      <c r="C54" s="2" t="s">
        <v>17</v>
      </c>
      <c r="D54" s="2" t="s">
        <v>71</v>
      </c>
      <c r="E54" s="2">
        <v>3</v>
      </c>
      <c r="F54" s="2">
        <v>154.99</v>
      </c>
      <c r="G54" s="2">
        <v>464.97</v>
      </c>
      <c r="H54" s="2" t="s">
        <v>19</v>
      </c>
      <c r="I54" s="2" t="s">
        <v>20</v>
      </c>
      <c r="J54" s="2" t="str">
        <f t="shared" si="0"/>
        <v>February</v>
      </c>
    </row>
    <row r="55" spans="1:10" ht="20.100000000000001" customHeight="1" x14ac:dyDescent="0.25">
      <c r="A55" s="2">
        <v>10052</v>
      </c>
      <c r="B55" s="3">
        <v>45343</v>
      </c>
      <c r="C55" s="2" t="s">
        <v>21</v>
      </c>
      <c r="D55" s="2" t="s">
        <v>72</v>
      </c>
      <c r="E55" s="2">
        <v>2</v>
      </c>
      <c r="F55" s="2">
        <v>26.99</v>
      </c>
      <c r="G55" s="2">
        <v>53.98</v>
      </c>
      <c r="H55" s="2" t="s">
        <v>11</v>
      </c>
      <c r="I55" s="2" t="s">
        <v>12</v>
      </c>
      <c r="J55" s="2" t="str">
        <f t="shared" si="0"/>
        <v>February</v>
      </c>
    </row>
    <row r="56" spans="1:10" ht="20.100000000000001" customHeight="1" x14ac:dyDescent="0.25">
      <c r="A56" s="2">
        <v>10053</v>
      </c>
      <c r="B56" s="3">
        <v>45344</v>
      </c>
      <c r="C56" s="2" t="s">
        <v>23</v>
      </c>
      <c r="D56" s="2" t="s">
        <v>73</v>
      </c>
      <c r="E56" s="2">
        <v>1</v>
      </c>
      <c r="F56" s="2">
        <v>49</v>
      </c>
      <c r="G56" s="2">
        <v>49</v>
      </c>
      <c r="H56" s="2" t="s">
        <v>15</v>
      </c>
      <c r="I56" s="2" t="s">
        <v>16</v>
      </c>
      <c r="J56" s="2" t="str">
        <f t="shared" si="0"/>
        <v>February</v>
      </c>
    </row>
    <row r="57" spans="1:10" ht="20.100000000000001" customHeight="1" x14ac:dyDescent="0.25">
      <c r="A57" s="2">
        <v>10054</v>
      </c>
      <c r="B57" s="3">
        <v>45345</v>
      </c>
      <c r="C57" s="2" t="s">
        <v>25</v>
      </c>
      <c r="D57" s="2" t="s">
        <v>74</v>
      </c>
      <c r="E57" s="2">
        <v>5</v>
      </c>
      <c r="F57" s="2">
        <v>49.99</v>
      </c>
      <c r="G57" s="2">
        <v>249.95</v>
      </c>
      <c r="H57" s="2" t="s">
        <v>19</v>
      </c>
      <c r="I57" s="2" t="s">
        <v>12</v>
      </c>
      <c r="J57" s="2" t="str">
        <f t="shared" si="0"/>
        <v>February</v>
      </c>
    </row>
    <row r="58" spans="1:10" ht="20.100000000000001" customHeight="1" x14ac:dyDescent="0.25">
      <c r="A58" s="2">
        <v>10055</v>
      </c>
      <c r="B58" s="3">
        <v>45346</v>
      </c>
      <c r="C58" s="2" t="s">
        <v>9</v>
      </c>
      <c r="D58" s="2" t="s">
        <v>75</v>
      </c>
      <c r="E58" s="2">
        <v>4</v>
      </c>
      <c r="F58" s="2">
        <v>59.99</v>
      </c>
      <c r="G58" s="2">
        <v>239.96</v>
      </c>
      <c r="H58" s="2" t="s">
        <v>11</v>
      </c>
      <c r="I58" s="2" t="s">
        <v>12</v>
      </c>
      <c r="J58" s="2" t="str">
        <f t="shared" si="0"/>
        <v>February</v>
      </c>
    </row>
    <row r="59" spans="1:10" ht="20.100000000000001" customHeight="1" x14ac:dyDescent="0.25">
      <c r="A59" s="2">
        <v>10056</v>
      </c>
      <c r="B59" s="3">
        <v>45347</v>
      </c>
      <c r="C59" s="2" t="s">
        <v>13</v>
      </c>
      <c r="D59" s="2" t="s">
        <v>76</v>
      </c>
      <c r="E59" s="2">
        <v>1</v>
      </c>
      <c r="F59" s="2">
        <v>499.99</v>
      </c>
      <c r="G59" s="2">
        <v>499.99</v>
      </c>
      <c r="H59" s="2" t="s">
        <v>15</v>
      </c>
      <c r="I59" s="2" t="s">
        <v>16</v>
      </c>
      <c r="J59" s="2" t="str">
        <f t="shared" si="0"/>
        <v>February</v>
      </c>
    </row>
    <row r="60" spans="1:10" ht="20.100000000000001" customHeight="1" x14ac:dyDescent="0.25">
      <c r="A60" s="2">
        <v>10057</v>
      </c>
      <c r="B60" s="3">
        <v>45348</v>
      </c>
      <c r="C60" s="2" t="s">
        <v>17</v>
      </c>
      <c r="D60" s="2" t="s">
        <v>77</v>
      </c>
      <c r="E60" s="2">
        <v>5</v>
      </c>
      <c r="F60" s="2">
        <v>29.99</v>
      </c>
      <c r="G60" s="2">
        <v>149.94999999999999</v>
      </c>
      <c r="H60" s="2" t="s">
        <v>19</v>
      </c>
      <c r="I60" s="2" t="s">
        <v>20</v>
      </c>
      <c r="J60" s="2" t="str">
        <f t="shared" si="0"/>
        <v>February</v>
      </c>
    </row>
    <row r="61" spans="1:10" ht="20.100000000000001" customHeight="1" x14ac:dyDescent="0.25">
      <c r="A61" s="2">
        <v>10058</v>
      </c>
      <c r="B61" s="3">
        <v>45349</v>
      </c>
      <c r="C61" s="2" t="s">
        <v>21</v>
      </c>
      <c r="D61" s="2" t="s">
        <v>78</v>
      </c>
      <c r="E61" s="2">
        <v>3</v>
      </c>
      <c r="F61" s="2">
        <v>28</v>
      </c>
      <c r="G61" s="2">
        <v>84</v>
      </c>
      <c r="H61" s="2" t="s">
        <v>11</v>
      </c>
      <c r="I61" s="2" t="s">
        <v>12</v>
      </c>
      <c r="J61" s="2" t="str">
        <f t="shared" si="0"/>
        <v>February</v>
      </c>
    </row>
    <row r="62" spans="1:10" ht="20.100000000000001" customHeight="1" x14ac:dyDescent="0.25">
      <c r="A62" s="2">
        <v>10059</v>
      </c>
      <c r="B62" s="3">
        <v>45350</v>
      </c>
      <c r="C62" s="2" t="s">
        <v>23</v>
      </c>
      <c r="D62" s="2" t="s">
        <v>79</v>
      </c>
      <c r="E62" s="2">
        <v>2</v>
      </c>
      <c r="F62" s="2">
        <v>23</v>
      </c>
      <c r="G62" s="2">
        <v>46</v>
      </c>
      <c r="H62" s="2" t="s">
        <v>15</v>
      </c>
      <c r="I62" s="2" t="s">
        <v>16</v>
      </c>
      <c r="J62" s="2" t="str">
        <f t="shared" si="0"/>
        <v>February</v>
      </c>
    </row>
    <row r="63" spans="1:10" ht="20.100000000000001" customHeight="1" x14ac:dyDescent="0.25">
      <c r="A63" s="2">
        <v>10060</v>
      </c>
      <c r="B63" s="3">
        <v>45351</v>
      </c>
      <c r="C63" s="2" t="s">
        <v>25</v>
      </c>
      <c r="D63" s="2" t="s">
        <v>80</v>
      </c>
      <c r="E63" s="2">
        <v>1</v>
      </c>
      <c r="F63" s="2">
        <v>349</v>
      </c>
      <c r="G63" s="2">
        <v>349</v>
      </c>
      <c r="H63" s="2" t="s">
        <v>19</v>
      </c>
      <c r="I63" s="2" t="s">
        <v>12</v>
      </c>
      <c r="J63" s="2" t="str">
        <f t="shared" si="0"/>
        <v>February</v>
      </c>
    </row>
    <row r="64" spans="1:10" ht="20.100000000000001" customHeight="1" x14ac:dyDescent="0.25">
      <c r="A64" s="2">
        <v>10061</v>
      </c>
      <c r="B64" s="3">
        <v>45352</v>
      </c>
      <c r="C64" s="2" t="s">
        <v>9</v>
      </c>
      <c r="D64" s="2" t="s">
        <v>81</v>
      </c>
      <c r="E64" s="2">
        <v>3</v>
      </c>
      <c r="F64" s="2">
        <v>299.99</v>
      </c>
      <c r="G64" s="2">
        <v>899.97</v>
      </c>
      <c r="H64" s="2" t="s">
        <v>11</v>
      </c>
      <c r="I64" s="2" t="s">
        <v>12</v>
      </c>
      <c r="J64" s="2" t="str">
        <f t="shared" si="0"/>
        <v>March</v>
      </c>
    </row>
    <row r="65" spans="1:10" ht="20.100000000000001" customHeight="1" x14ac:dyDescent="0.25">
      <c r="A65" s="2">
        <v>10062</v>
      </c>
      <c r="B65" s="3">
        <v>45353</v>
      </c>
      <c r="C65" s="2" t="s">
        <v>13</v>
      </c>
      <c r="D65" s="2" t="s">
        <v>82</v>
      </c>
      <c r="E65" s="2">
        <v>2</v>
      </c>
      <c r="F65" s="2">
        <v>199.99</v>
      </c>
      <c r="G65" s="2">
        <v>399.98</v>
      </c>
      <c r="H65" s="2" t="s">
        <v>15</v>
      </c>
      <c r="I65" s="2" t="s">
        <v>16</v>
      </c>
      <c r="J65" s="2" t="str">
        <f t="shared" si="0"/>
        <v>March</v>
      </c>
    </row>
    <row r="66" spans="1:10" ht="20.100000000000001" customHeight="1" x14ac:dyDescent="0.25">
      <c r="A66" s="2">
        <v>10063</v>
      </c>
      <c r="B66" s="3">
        <v>45354</v>
      </c>
      <c r="C66" s="2" t="s">
        <v>17</v>
      </c>
      <c r="D66" s="2" t="s">
        <v>83</v>
      </c>
      <c r="E66" s="2">
        <v>10</v>
      </c>
      <c r="F66" s="2">
        <v>9.99</v>
      </c>
      <c r="G66" s="2">
        <v>99.9</v>
      </c>
      <c r="H66" s="2" t="s">
        <v>19</v>
      </c>
      <c r="I66" s="2" t="s">
        <v>20</v>
      </c>
      <c r="J66" s="2" t="str">
        <f t="shared" si="0"/>
        <v>March</v>
      </c>
    </row>
    <row r="67" spans="1:10" ht="20.100000000000001" customHeight="1" x14ac:dyDescent="0.25">
      <c r="A67" s="2">
        <v>10064</v>
      </c>
      <c r="B67" s="3">
        <v>45355</v>
      </c>
      <c r="C67" s="2" t="s">
        <v>21</v>
      </c>
      <c r="D67" s="2" t="s">
        <v>84</v>
      </c>
      <c r="E67" s="2">
        <v>4</v>
      </c>
      <c r="F67" s="2">
        <v>18.989999999999998</v>
      </c>
      <c r="G67" s="2">
        <v>75.959999999999994</v>
      </c>
      <c r="H67" s="2" t="s">
        <v>11</v>
      </c>
      <c r="I67" s="2" t="s">
        <v>12</v>
      </c>
      <c r="J67" s="2" t="str">
        <f t="shared" si="0"/>
        <v>March</v>
      </c>
    </row>
    <row r="68" spans="1:10" ht="20.100000000000001" customHeight="1" x14ac:dyDescent="0.25">
      <c r="A68" s="2">
        <v>10065</v>
      </c>
      <c r="B68" s="3">
        <v>45356</v>
      </c>
      <c r="C68" s="2" t="s">
        <v>23</v>
      </c>
      <c r="D68" s="2" t="s">
        <v>85</v>
      </c>
      <c r="E68" s="2">
        <v>1</v>
      </c>
      <c r="F68" s="2">
        <v>102</v>
      </c>
      <c r="G68" s="2">
        <v>102</v>
      </c>
      <c r="H68" s="2" t="s">
        <v>15</v>
      </c>
      <c r="I68" s="2" t="s">
        <v>16</v>
      </c>
      <c r="J68" s="2" t="str">
        <f t="shared" si="0"/>
        <v>March</v>
      </c>
    </row>
    <row r="69" spans="1:10" ht="20.100000000000001" customHeight="1" x14ac:dyDescent="0.25">
      <c r="A69" s="2">
        <v>10066</v>
      </c>
      <c r="B69" s="3">
        <v>45357</v>
      </c>
      <c r="C69" s="2" t="s">
        <v>25</v>
      </c>
      <c r="D69" s="2" t="s">
        <v>86</v>
      </c>
      <c r="E69" s="2">
        <v>2</v>
      </c>
      <c r="F69" s="2">
        <v>299.99</v>
      </c>
      <c r="G69" s="2">
        <v>599.98</v>
      </c>
      <c r="H69" s="2" t="s">
        <v>19</v>
      </c>
      <c r="I69" s="2" t="s">
        <v>12</v>
      </c>
      <c r="J69" s="2" t="str">
        <f t="shared" ref="J69:J102" si="1">TEXT(B69,"MMMM")</f>
        <v>March</v>
      </c>
    </row>
    <row r="70" spans="1:10" ht="20.100000000000001" customHeight="1" x14ac:dyDescent="0.25">
      <c r="A70" s="2">
        <v>10067</v>
      </c>
      <c r="B70" s="3">
        <v>45358</v>
      </c>
      <c r="C70" s="2" t="s">
        <v>9</v>
      </c>
      <c r="D70" s="2" t="s">
        <v>87</v>
      </c>
      <c r="E70" s="2">
        <v>1</v>
      </c>
      <c r="F70" s="2">
        <v>1199.99</v>
      </c>
      <c r="G70" s="2">
        <v>1199.99</v>
      </c>
      <c r="H70" s="2" t="s">
        <v>11</v>
      </c>
      <c r="I70" s="2" t="s">
        <v>12</v>
      </c>
      <c r="J70" s="2" t="str">
        <f t="shared" si="1"/>
        <v>March</v>
      </c>
    </row>
    <row r="71" spans="1:10" ht="20.100000000000001" customHeight="1" x14ac:dyDescent="0.25">
      <c r="A71" s="2">
        <v>10068</v>
      </c>
      <c r="B71" s="3">
        <v>45359</v>
      </c>
      <c r="C71" s="2" t="s">
        <v>13</v>
      </c>
      <c r="D71" s="2" t="s">
        <v>88</v>
      </c>
      <c r="E71" s="2">
        <v>3</v>
      </c>
      <c r="F71" s="2">
        <v>219.99</v>
      </c>
      <c r="G71" s="2">
        <v>659.97</v>
      </c>
      <c r="H71" s="2" t="s">
        <v>15</v>
      </c>
      <c r="I71" s="2" t="s">
        <v>16</v>
      </c>
      <c r="J71" s="2" t="str">
        <f t="shared" si="1"/>
        <v>March</v>
      </c>
    </row>
    <row r="72" spans="1:10" ht="20.100000000000001" customHeight="1" x14ac:dyDescent="0.25">
      <c r="A72" s="2">
        <v>10069</v>
      </c>
      <c r="B72" s="3">
        <v>45360</v>
      </c>
      <c r="C72" s="2" t="s">
        <v>17</v>
      </c>
      <c r="D72" s="2" t="s">
        <v>89</v>
      </c>
      <c r="E72" s="2">
        <v>4</v>
      </c>
      <c r="F72" s="2">
        <v>59.99</v>
      </c>
      <c r="G72" s="2">
        <v>239.96</v>
      </c>
      <c r="H72" s="2" t="s">
        <v>19</v>
      </c>
      <c r="I72" s="2" t="s">
        <v>20</v>
      </c>
      <c r="J72" s="2" t="str">
        <f t="shared" si="1"/>
        <v>March</v>
      </c>
    </row>
    <row r="73" spans="1:10" ht="20.100000000000001" customHeight="1" x14ac:dyDescent="0.25">
      <c r="A73" s="2">
        <v>10070</v>
      </c>
      <c r="B73" s="3">
        <v>45361</v>
      </c>
      <c r="C73" s="2" t="s">
        <v>21</v>
      </c>
      <c r="D73" s="2" t="s">
        <v>90</v>
      </c>
      <c r="E73" s="2">
        <v>2</v>
      </c>
      <c r="F73" s="2">
        <v>10.99</v>
      </c>
      <c r="G73" s="2">
        <v>21.98</v>
      </c>
      <c r="H73" s="2" t="s">
        <v>11</v>
      </c>
      <c r="I73" s="2" t="s">
        <v>12</v>
      </c>
      <c r="J73" s="2" t="str">
        <f t="shared" si="1"/>
        <v>March</v>
      </c>
    </row>
    <row r="74" spans="1:10" ht="20.100000000000001" customHeight="1" x14ac:dyDescent="0.25">
      <c r="A74" s="2">
        <v>10071</v>
      </c>
      <c r="B74" s="3">
        <v>45362</v>
      </c>
      <c r="C74" s="2" t="s">
        <v>23</v>
      </c>
      <c r="D74" s="2" t="s">
        <v>91</v>
      </c>
      <c r="E74" s="2">
        <v>1</v>
      </c>
      <c r="F74" s="2">
        <v>78</v>
      </c>
      <c r="G74" s="2">
        <v>78</v>
      </c>
      <c r="H74" s="2" t="s">
        <v>15</v>
      </c>
      <c r="I74" s="2" t="s">
        <v>16</v>
      </c>
      <c r="J74" s="2" t="str">
        <f t="shared" si="1"/>
        <v>March</v>
      </c>
    </row>
    <row r="75" spans="1:10" ht="20.100000000000001" customHeight="1" x14ac:dyDescent="0.25">
      <c r="A75" s="2">
        <v>10072</v>
      </c>
      <c r="B75" s="3">
        <v>45363</v>
      </c>
      <c r="C75" s="2" t="s">
        <v>25</v>
      </c>
      <c r="D75" s="2" t="s">
        <v>92</v>
      </c>
      <c r="E75" s="2">
        <v>3</v>
      </c>
      <c r="F75" s="2">
        <v>129.99</v>
      </c>
      <c r="G75" s="2">
        <v>389.97</v>
      </c>
      <c r="H75" s="2" t="s">
        <v>19</v>
      </c>
      <c r="I75" s="2" t="s">
        <v>12</v>
      </c>
      <c r="J75" s="2" t="str">
        <f t="shared" si="1"/>
        <v>March</v>
      </c>
    </row>
    <row r="76" spans="1:10" ht="20.100000000000001" customHeight="1" x14ac:dyDescent="0.25">
      <c r="A76" s="2">
        <v>10073</v>
      </c>
      <c r="B76" s="3">
        <v>45364</v>
      </c>
      <c r="C76" s="2" t="s">
        <v>9</v>
      </c>
      <c r="D76" s="2" t="s">
        <v>93</v>
      </c>
      <c r="E76" s="2">
        <v>1</v>
      </c>
      <c r="F76" s="2">
        <v>1599.99</v>
      </c>
      <c r="G76" s="2">
        <v>1599.99</v>
      </c>
      <c r="H76" s="2" t="s">
        <v>11</v>
      </c>
      <c r="I76" s="2" t="s">
        <v>12</v>
      </c>
      <c r="J76" s="2" t="str">
        <f t="shared" si="1"/>
        <v>March</v>
      </c>
    </row>
    <row r="77" spans="1:10" ht="20.100000000000001" customHeight="1" x14ac:dyDescent="0.25">
      <c r="A77" s="2">
        <v>10074</v>
      </c>
      <c r="B77" s="3">
        <v>45365</v>
      </c>
      <c r="C77" s="2" t="s">
        <v>13</v>
      </c>
      <c r="D77" s="2" t="s">
        <v>94</v>
      </c>
      <c r="E77" s="2">
        <v>1</v>
      </c>
      <c r="F77" s="2">
        <v>899.99</v>
      </c>
      <c r="G77" s="2">
        <v>899.99</v>
      </c>
      <c r="H77" s="2" t="s">
        <v>15</v>
      </c>
      <c r="I77" s="2" t="s">
        <v>16</v>
      </c>
      <c r="J77" s="2" t="str">
        <f t="shared" si="1"/>
        <v>March</v>
      </c>
    </row>
    <row r="78" spans="1:10" ht="20.100000000000001" customHeight="1" x14ac:dyDescent="0.25">
      <c r="A78" s="2">
        <v>10075</v>
      </c>
      <c r="B78" s="3">
        <v>45366</v>
      </c>
      <c r="C78" s="2" t="s">
        <v>17</v>
      </c>
      <c r="D78" s="2" t="s">
        <v>95</v>
      </c>
      <c r="E78" s="2">
        <v>5</v>
      </c>
      <c r="F78" s="2">
        <v>49.99</v>
      </c>
      <c r="G78" s="2">
        <v>249.95</v>
      </c>
      <c r="H78" s="2" t="s">
        <v>19</v>
      </c>
      <c r="I78" s="2" t="s">
        <v>20</v>
      </c>
      <c r="J78" s="2" t="str">
        <f t="shared" si="1"/>
        <v>March</v>
      </c>
    </row>
    <row r="79" spans="1:10" ht="20.100000000000001" customHeight="1" x14ac:dyDescent="0.25">
      <c r="A79" s="2">
        <v>10076</v>
      </c>
      <c r="B79" s="3">
        <v>45367</v>
      </c>
      <c r="C79" s="2" t="s">
        <v>21</v>
      </c>
      <c r="D79" s="2" t="s">
        <v>96</v>
      </c>
      <c r="E79" s="2">
        <v>4</v>
      </c>
      <c r="F79" s="2">
        <v>14.99</v>
      </c>
      <c r="G79" s="2">
        <v>59.96</v>
      </c>
      <c r="H79" s="2" t="s">
        <v>11</v>
      </c>
      <c r="I79" s="2" t="s">
        <v>12</v>
      </c>
      <c r="J79" s="2" t="str">
        <f t="shared" si="1"/>
        <v>March</v>
      </c>
    </row>
    <row r="80" spans="1:10" ht="20.100000000000001" customHeight="1" x14ac:dyDescent="0.25">
      <c r="A80" s="2">
        <v>10077</v>
      </c>
      <c r="B80" s="3">
        <v>45368</v>
      </c>
      <c r="C80" s="2" t="s">
        <v>23</v>
      </c>
      <c r="D80" s="2" t="s">
        <v>97</v>
      </c>
      <c r="E80" s="2">
        <v>2</v>
      </c>
      <c r="F80" s="2">
        <v>16</v>
      </c>
      <c r="G80" s="2">
        <v>32</v>
      </c>
      <c r="H80" s="2" t="s">
        <v>15</v>
      </c>
      <c r="I80" s="2" t="s">
        <v>16</v>
      </c>
      <c r="J80" s="2" t="str">
        <f t="shared" si="1"/>
        <v>March</v>
      </c>
    </row>
    <row r="81" spans="1:10" ht="20.100000000000001" customHeight="1" x14ac:dyDescent="0.25">
      <c r="A81" s="2">
        <v>10078</v>
      </c>
      <c r="B81" s="3">
        <v>45369</v>
      </c>
      <c r="C81" s="2" t="s">
        <v>25</v>
      </c>
      <c r="D81" s="2" t="s">
        <v>98</v>
      </c>
      <c r="E81" s="2">
        <v>3</v>
      </c>
      <c r="F81" s="2">
        <v>69.989999999999995</v>
      </c>
      <c r="G81" s="2">
        <v>209.97</v>
      </c>
      <c r="H81" s="2" t="s">
        <v>19</v>
      </c>
      <c r="I81" s="2" t="s">
        <v>12</v>
      </c>
      <c r="J81" s="2" t="str">
        <f t="shared" si="1"/>
        <v>March</v>
      </c>
    </row>
    <row r="82" spans="1:10" ht="20.100000000000001" customHeight="1" x14ac:dyDescent="0.25">
      <c r="A82" s="2">
        <v>10079</v>
      </c>
      <c r="B82" s="3">
        <v>45370</v>
      </c>
      <c r="C82" s="2" t="s">
        <v>9</v>
      </c>
      <c r="D82" s="2" t="s">
        <v>99</v>
      </c>
      <c r="E82" s="2">
        <v>2</v>
      </c>
      <c r="F82" s="2">
        <v>249.99</v>
      </c>
      <c r="G82" s="2">
        <v>499.98</v>
      </c>
      <c r="H82" s="2" t="s">
        <v>11</v>
      </c>
      <c r="I82" s="2" t="s">
        <v>12</v>
      </c>
      <c r="J82" s="2" t="str">
        <f t="shared" si="1"/>
        <v>March</v>
      </c>
    </row>
    <row r="83" spans="1:10" ht="20.100000000000001" customHeight="1" x14ac:dyDescent="0.25">
      <c r="A83" s="2">
        <v>10080</v>
      </c>
      <c r="B83" s="3">
        <v>45371</v>
      </c>
      <c r="C83" s="2" t="s">
        <v>13</v>
      </c>
      <c r="D83" s="2" t="s">
        <v>100</v>
      </c>
      <c r="E83" s="2">
        <v>1</v>
      </c>
      <c r="F83" s="2">
        <v>499.99</v>
      </c>
      <c r="G83" s="2">
        <v>499.99</v>
      </c>
      <c r="H83" s="2" t="s">
        <v>15</v>
      </c>
      <c r="I83" s="2" t="s">
        <v>16</v>
      </c>
      <c r="J83" s="2" t="str">
        <f t="shared" si="1"/>
        <v>March</v>
      </c>
    </row>
    <row r="84" spans="1:10" ht="20.100000000000001" customHeight="1" x14ac:dyDescent="0.25">
      <c r="A84" s="2">
        <v>10081</v>
      </c>
      <c r="B84" s="3">
        <v>45372</v>
      </c>
      <c r="C84" s="2" t="s">
        <v>17</v>
      </c>
      <c r="D84" s="2" t="s">
        <v>101</v>
      </c>
      <c r="E84" s="2">
        <v>2</v>
      </c>
      <c r="F84" s="2">
        <v>89.99</v>
      </c>
      <c r="G84" s="2">
        <v>179.98</v>
      </c>
      <c r="H84" s="2" t="s">
        <v>19</v>
      </c>
      <c r="I84" s="2" t="s">
        <v>20</v>
      </c>
      <c r="J84" s="2" t="str">
        <f t="shared" si="1"/>
        <v>March</v>
      </c>
    </row>
    <row r="85" spans="1:10" ht="20.100000000000001" customHeight="1" x14ac:dyDescent="0.25">
      <c r="A85" s="2">
        <v>10082</v>
      </c>
      <c r="B85" s="3">
        <v>45373</v>
      </c>
      <c r="C85" s="2" t="s">
        <v>21</v>
      </c>
      <c r="D85" s="2" t="s">
        <v>102</v>
      </c>
      <c r="E85" s="2">
        <v>3</v>
      </c>
      <c r="F85" s="2">
        <v>12.99</v>
      </c>
      <c r="G85" s="2">
        <v>38.97</v>
      </c>
      <c r="H85" s="2" t="s">
        <v>11</v>
      </c>
      <c r="I85" s="2" t="s">
        <v>12</v>
      </c>
      <c r="J85" s="2" t="str">
        <f t="shared" si="1"/>
        <v>March</v>
      </c>
    </row>
    <row r="86" spans="1:10" ht="20.100000000000001" customHeight="1" x14ac:dyDescent="0.25">
      <c r="A86" s="2">
        <v>10083</v>
      </c>
      <c r="B86" s="3">
        <v>45374</v>
      </c>
      <c r="C86" s="2" t="s">
        <v>23</v>
      </c>
      <c r="D86" s="2" t="s">
        <v>103</v>
      </c>
      <c r="E86" s="2">
        <v>1</v>
      </c>
      <c r="F86" s="2">
        <v>100</v>
      </c>
      <c r="G86" s="2">
        <v>100</v>
      </c>
      <c r="H86" s="2" t="s">
        <v>15</v>
      </c>
      <c r="I86" s="2" t="s">
        <v>16</v>
      </c>
      <c r="J86" s="2" t="str">
        <f t="shared" si="1"/>
        <v>March</v>
      </c>
    </row>
    <row r="87" spans="1:10" ht="20.100000000000001" customHeight="1" x14ac:dyDescent="0.25">
      <c r="A87" s="2">
        <v>10084</v>
      </c>
      <c r="B87" s="3">
        <v>45375</v>
      </c>
      <c r="C87" s="2" t="s">
        <v>25</v>
      </c>
      <c r="D87" s="2" t="s">
        <v>104</v>
      </c>
      <c r="E87" s="2">
        <v>6</v>
      </c>
      <c r="F87" s="2">
        <v>24.99</v>
      </c>
      <c r="G87" s="2">
        <v>149.94</v>
      </c>
      <c r="H87" s="2" t="s">
        <v>19</v>
      </c>
      <c r="I87" s="2" t="s">
        <v>12</v>
      </c>
      <c r="J87" s="2" t="str">
        <f t="shared" si="1"/>
        <v>March</v>
      </c>
    </row>
    <row r="88" spans="1:10" ht="20.100000000000001" customHeight="1" x14ac:dyDescent="0.25">
      <c r="A88" s="2">
        <v>10085</v>
      </c>
      <c r="B88" s="3">
        <v>45376</v>
      </c>
      <c r="C88" s="2" t="s">
        <v>9</v>
      </c>
      <c r="D88" s="2" t="s">
        <v>105</v>
      </c>
      <c r="E88" s="2">
        <v>1</v>
      </c>
      <c r="F88" s="2">
        <v>99.99</v>
      </c>
      <c r="G88" s="2">
        <v>99.99</v>
      </c>
      <c r="H88" s="2" t="s">
        <v>11</v>
      </c>
      <c r="I88" s="2" t="s">
        <v>12</v>
      </c>
      <c r="J88" s="2" t="str">
        <f t="shared" si="1"/>
        <v>March</v>
      </c>
    </row>
    <row r="89" spans="1:10" ht="20.100000000000001" customHeight="1" x14ac:dyDescent="0.25">
      <c r="A89" s="2">
        <v>10086</v>
      </c>
      <c r="B89" s="3">
        <v>45377</v>
      </c>
      <c r="C89" s="2" t="s">
        <v>13</v>
      </c>
      <c r="D89" s="2" t="s">
        <v>106</v>
      </c>
      <c r="E89" s="2">
        <v>2</v>
      </c>
      <c r="F89" s="2">
        <v>1299.99</v>
      </c>
      <c r="G89" s="2">
        <v>2599.98</v>
      </c>
      <c r="H89" s="2" t="s">
        <v>15</v>
      </c>
      <c r="I89" s="2" t="s">
        <v>16</v>
      </c>
      <c r="J89" s="2" t="str">
        <f t="shared" si="1"/>
        <v>March</v>
      </c>
    </row>
    <row r="90" spans="1:10" ht="20.100000000000001" customHeight="1" x14ac:dyDescent="0.25">
      <c r="A90" s="2">
        <v>10087</v>
      </c>
      <c r="B90" s="3">
        <v>45378</v>
      </c>
      <c r="C90" s="2" t="s">
        <v>17</v>
      </c>
      <c r="D90" s="2" t="s">
        <v>107</v>
      </c>
      <c r="E90" s="2">
        <v>3</v>
      </c>
      <c r="F90" s="2">
        <v>79.989999999999995</v>
      </c>
      <c r="G90" s="2">
        <v>239.97</v>
      </c>
      <c r="H90" s="2" t="s">
        <v>19</v>
      </c>
      <c r="I90" s="2" t="s">
        <v>20</v>
      </c>
      <c r="J90" s="2" t="str">
        <f t="shared" si="1"/>
        <v>March</v>
      </c>
    </row>
    <row r="91" spans="1:10" ht="20.100000000000001" customHeight="1" x14ac:dyDescent="0.25">
      <c r="A91" s="2">
        <v>10088</v>
      </c>
      <c r="B91" s="3">
        <v>45379</v>
      </c>
      <c r="C91" s="2" t="s">
        <v>21</v>
      </c>
      <c r="D91" s="2" t="s">
        <v>108</v>
      </c>
      <c r="E91" s="2">
        <v>4</v>
      </c>
      <c r="F91" s="2">
        <v>13.99</v>
      </c>
      <c r="G91" s="2">
        <v>55.96</v>
      </c>
      <c r="H91" s="2" t="s">
        <v>11</v>
      </c>
      <c r="I91" s="2" t="s">
        <v>12</v>
      </c>
      <c r="J91" s="2" t="str">
        <f t="shared" si="1"/>
        <v>March</v>
      </c>
    </row>
    <row r="92" spans="1:10" ht="20.100000000000001" customHeight="1" x14ac:dyDescent="0.25">
      <c r="A92" s="2">
        <v>10089</v>
      </c>
      <c r="B92" s="3">
        <v>45380</v>
      </c>
      <c r="C92" s="2" t="s">
        <v>23</v>
      </c>
      <c r="D92" s="2" t="s">
        <v>109</v>
      </c>
      <c r="E92" s="2">
        <v>1</v>
      </c>
      <c r="F92" s="2">
        <v>105</v>
      </c>
      <c r="G92" s="2">
        <v>105</v>
      </c>
      <c r="H92" s="2" t="s">
        <v>15</v>
      </c>
      <c r="I92" s="2" t="s">
        <v>16</v>
      </c>
      <c r="J92" s="2" t="str">
        <f t="shared" si="1"/>
        <v>March</v>
      </c>
    </row>
    <row r="93" spans="1:10" ht="20.100000000000001" customHeight="1" x14ac:dyDescent="0.25">
      <c r="A93" s="2">
        <v>10090</v>
      </c>
      <c r="B93" s="3">
        <v>45381</v>
      </c>
      <c r="C93" s="2" t="s">
        <v>25</v>
      </c>
      <c r="D93" s="2" t="s">
        <v>110</v>
      </c>
      <c r="E93" s="2">
        <v>2</v>
      </c>
      <c r="F93" s="2">
        <v>129.99</v>
      </c>
      <c r="G93" s="2">
        <v>259.98</v>
      </c>
      <c r="H93" s="2" t="s">
        <v>19</v>
      </c>
      <c r="I93" s="2" t="s">
        <v>12</v>
      </c>
      <c r="J93" s="2" t="str">
        <f t="shared" si="1"/>
        <v>March</v>
      </c>
    </row>
    <row r="94" spans="1:10" ht="20.100000000000001" customHeight="1" x14ac:dyDescent="0.25">
      <c r="A94" s="2">
        <v>10091</v>
      </c>
      <c r="B94" s="3">
        <v>45382</v>
      </c>
      <c r="C94" s="2" t="s">
        <v>9</v>
      </c>
      <c r="D94" s="2" t="s">
        <v>111</v>
      </c>
      <c r="E94" s="2">
        <v>2</v>
      </c>
      <c r="F94" s="2">
        <v>99.99</v>
      </c>
      <c r="G94" s="2">
        <v>199.98</v>
      </c>
      <c r="H94" s="2" t="s">
        <v>11</v>
      </c>
      <c r="I94" s="2" t="s">
        <v>12</v>
      </c>
      <c r="J94" s="2" t="str">
        <f t="shared" si="1"/>
        <v>March</v>
      </c>
    </row>
    <row r="95" spans="1:10" ht="20.100000000000001" customHeight="1" x14ac:dyDescent="0.25">
      <c r="A95" s="2">
        <v>10092</v>
      </c>
      <c r="B95" s="3">
        <v>45383</v>
      </c>
      <c r="C95" s="2" t="s">
        <v>13</v>
      </c>
      <c r="D95" s="2" t="s">
        <v>112</v>
      </c>
      <c r="E95" s="2">
        <v>1</v>
      </c>
      <c r="F95" s="2">
        <v>179.99</v>
      </c>
      <c r="G95" s="2">
        <v>179.99</v>
      </c>
      <c r="H95" s="2" t="s">
        <v>15</v>
      </c>
      <c r="I95" s="2" t="s">
        <v>16</v>
      </c>
      <c r="J95" s="2" t="str">
        <f t="shared" si="1"/>
        <v>April</v>
      </c>
    </row>
    <row r="96" spans="1:10" ht="20.100000000000001" customHeight="1" x14ac:dyDescent="0.25">
      <c r="A96" s="2">
        <v>10093</v>
      </c>
      <c r="B96" s="3">
        <v>45384</v>
      </c>
      <c r="C96" s="2" t="s">
        <v>17</v>
      </c>
      <c r="D96" s="2" t="s">
        <v>113</v>
      </c>
      <c r="E96" s="2">
        <v>4</v>
      </c>
      <c r="F96" s="2">
        <v>79.989999999999995</v>
      </c>
      <c r="G96" s="2">
        <v>319.95999999999998</v>
      </c>
      <c r="H96" s="2" t="s">
        <v>19</v>
      </c>
      <c r="I96" s="2" t="s">
        <v>20</v>
      </c>
      <c r="J96" s="2" t="str">
        <f t="shared" si="1"/>
        <v>April</v>
      </c>
    </row>
    <row r="97" spans="1:10" ht="20.100000000000001" customHeight="1" x14ac:dyDescent="0.25">
      <c r="A97" s="2">
        <v>10094</v>
      </c>
      <c r="B97" s="3">
        <v>45385</v>
      </c>
      <c r="C97" s="2" t="s">
        <v>21</v>
      </c>
      <c r="D97" s="2" t="s">
        <v>114</v>
      </c>
      <c r="E97" s="2">
        <v>3</v>
      </c>
      <c r="F97" s="2">
        <v>14.99</v>
      </c>
      <c r="G97" s="2">
        <v>44.97</v>
      </c>
      <c r="H97" s="2" t="s">
        <v>11</v>
      </c>
      <c r="I97" s="2" t="s">
        <v>12</v>
      </c>
      <c r="J97" s="2" t="str">
        <f t="shared" si="1"/>
        <v>April</v>
      </c>
    </row>
    <row r="98" spans="1:10" ht="20.100000000000001" customHeight="1" x14ac:dyDescent="0.25">
      <c r="A98" s="2">
        <v>10095</v>
      </c>
      <c r="B98" s="3">
        <v>45386</v>
      </c>
      <c r="C98" s="2" t="s">
        <v>23</v>
      </c>
      <c r="D98" s="2" t="s">
        <v>115</v>
      </c>
      <c r="E98" s="2">
        <v>1</v>
      </c>
      <c r="F98" s="2">
        <v>68</v>
      </c>
      <c r="G98" s="2">
        <v>68</v>
      </c>
      <c r="H98" s="2" t="s">
        <v>15</v>
      </c>
      <c r="I98" s="2" t="s">
        <v>16</v>
      </c>
      <c r="J98" s="2" t="str">
        <f t="shared" si="1"/>
        <v>April</v>
      </c>
    </row>
    <row r="99" spans="1:10" ht="20.100000000000001" customHeight="1" x14ac:dyDescent="0.25">
      <c r="A99" s="2">
        <v>10096</v>
      </c>
      <c r="B99" s="3">
        <v>45387</v>
      </c>
      <c r="C99" s="2" t="s">
        <v>25</v>
      </c>
      <c r="D99" s="2" t="s">
        <v>116</v>
      </c>
      <c r="E99" s="2">
        <v>1</v>
      </c>
      <c r="F99" s="2">
        <v>999.99</v>
      </c>
      <c r="G99" s="2">
        <v>999.99</v>
      </c>
      <c r="H99" s="2" t="s">
        <v>19</v>
      </c>
      <c r="I99" s="2" t="s">
        <v>12</v>
      </c>
      <c r="J99" s="2" t="str">
        <f t="shared" si="1"/>
        <v>April</v>
      </c>
    </row>
    <row r="100" spans="1:10" ht="20.100000000000001" customHeight="1" x14ac:dyDescent="0.25">
      <c r="A100" s="2">
        <v>10097</v>
      </c>
      <c r="B100" s="3">
        <v>45388</v>
      </c>
      <c r="C100" s="2" t="s">
        <v>9</v>
      </c>
      <c r="D100" s="2" t="s">
        <v>117</v>
      </c>
      <c r="E100" s="2">
        <v>3</v>
      </c>
      <c r="F100" s="2">
        <v>299.99</v>
      </c>
      <c r="G100" s="2">
        <v>899.97</v>
      </c>
      <c r="H100" s="2" t="s">
        <v>11</v>
      </c>
      <c r="I100" s="2" t="s">
        <v>12</v>
      </c>
      <c r="J100" s="2" t="str">
        <f t="shared" si="1"/>
        <v>April</v>
      </c>
    </row>
    <row r="101" spans="1:10" ht="20.100000000000001" customHeight="1" x14ac:dyDescent="0.25">
      <c r="A101" s="2">
        <v>10098</v>
      </c>
      <c r="B101" s="3">
        <v>45389</v>
      </c>
      <c r="C101" s="2" t="s">
        <v>13</v>
      </c>
      <c r="D101" s="2" t="s">
        <v>118</v>
      </c>
      <c r="E101" s="2">
        <v>1</v>
      </c>
      <c r="F101" s="2">
        <v>349.99</v>
      </c>
      <c r="G101" s="2">
        <v>349.99</v>
      </c>
      <c r="H101" s="2" t="s">
        <v>15</v>
      </c>
      <c r="I101" s="2" t="s">
        <v>16</v>
      </c>
      <c r="J101" s="2" t="str">
        <f t="shared" si="1"/>
        <v>April</v>
      </c>
    </row>
    <row r="102" spans="1:10" ht="20.100000000000001" customHeight="1" x14ac:dyDescent="0.25">
      <c r="A102" s="2">
        <v>10099</v>
      </c>
      <c r="B102" s="3">
        <v>45390</v>
      </c>
      <c r="C102" s="2" t="s">
        <v>17</v>
      </c>
      <c r="D102" s="2" t="s">
        <v>119</v>
      </c>
      <c r="E102" s="2">
        <v>6</v>
      </c>
      <c r="F102" s="2">
        <v>19.989999999999998</v>
      </c>
      <c r="G102" s="2">
        <v>119.94</v>
      </c>
      <c r="H102" s="2" t="s">
        <v>19</v>
      </c>
      <c r="I102" s="2" t="s">
        <v>20</v>
      </c>
      <c r="J102" s="2" t="str">
        <f t="shared" si="1"/>
        <v>April</v>
      </c>
    </row>
    <row r="103" spans="1:10" ht="20.100000000000001" customHeight="1" x14ac:dyDescent="0.25">
      <c r="B103" s="1"/>
    </row>
    <row r="104" spans="1:10" ht="20.100000000000001" customHeight="1" x14ac:dyDescent="0.25">
      <c r="B104" s="1"/>
    </row>
    <row r="105" spans="1:10" ht="20.100000000000001" customHeight="1" x14ac:dyDescent="0.25">
      <c r="B105" s="1"/>
    </row>
    <row r="106" spans="1:10" ht="20.100000000000001" customHeight="1" x14ac:dyDescent="0.25">
      <c r="B106" s="1"/>
    </row>
    <row r="107" spans="1:10" ht="20.100000000000001" customHeight="1" x14ac:dyDescent="0.25">
      <c r="B107" s="1"/>
    </row>
    <row r="108" spans="1:10" ht="20.100000000000001" customHeight="1" x14ac:dyDescent="0.25">
      <c r="B108" s="1"/>
    </row>
    <row r="109" spans="1:10" ht="20.100000000000001" customHeight="1" x14ac:dyDescent="0.25">
      <c r="B109" s="1"/>
    </row>
    <row r="110" spans="1:10" ht="20.100000000000001" customHeight="1" x14ac:dyDescent="0.25">
      <c r="B110" s="1"/>
    </row>
    <row r="111" spans="1:10" ht="20.100000000000001" customHeight="1" x14ac:dyDescent="0.25">
      <c r="B111" s="1"/>
    </row>
    <row r="112" spans="1:10" ht="20.100000000000001" customHeight="1" x14ac:dyDescent="0.25">
      <c r="B112" s="1"/>
    </row>
    <row r="113" spans="2:2" ht="20.100000000000001" customHeight="1" x14ac:dyDescent="0.25">
      <c r="B113" s="1"/>
    </row>
    <row r="114" spans="2:2" ht="20.100000000000001" customHeight="1" x14ac:dyDescent="0.25">
      <c r="B114" s="1"/>
    </row>
    <row r="115" spans="2:2" ht="20.100000000000001" customHeight="1" x14ac:dyDescent="0.25">
      <c r="B115" s="1"/>
    </row>
    <row r="116" spans="2:2" ht="20.100000000000001" customHeight="1" x14ac:dyDescent="0.25">
      <c r="B116" s="1"/>
    </row>
    <row r="117" spans="2:2" ht="20.100000000000001" customHeight="1" x14ac:dyDescent="0.25">
      <c r="B117" s="1"/>
    </row>
    <row r="118" spans="2:2" ht="20.100000000000001" customHeight="1" x14ac:dyDescent="0.25">
      <c r="B118" s="1"/>
    </row>
    <row r="119" spans="2:2" ht="20.100000000000001" customHeight="1" x14ac:dyDescent="0.25">
      <c r="B119" s="1"/>
    </row>
    <row r="120" spans="2:2" ht="20.100000000000001" customHeight="1" x14ac:dyDescent="0.25">
      <c r="B120" s="1"/>
    </row>
    <row r="121" spans="2:2" ht="20.100000000000001" customHeight="1" x14ac:dyDescent="0.25">
      <c r="B121" s="1"/>
    </row>
    <row r="122" spans="2:2" ht="20.100000000000001" customHeight="1" x14ac:dyDescent="0.25">
      <c r="B122" s="1"/>
    </row>
    <row r="123" spans="2:2" ht="20.100000000000001" customHeight="1" x14ac:dyDescent="0.25">
      <c r="B123" s="1"/>
    </row>
    <row r="124" spans="2:2" ht="20.100000000000001" customHeight="1" x14ac:dyDescent="0.25">
      <c r="B124" s="1"/>
    </row>
    <row r="125" spans="2:2" ht="20.100000000000001" customHeight="1" x14ac:dyDescent="0.25">
      <c r="B125" s="1"/>
    </row>
    <row r="126" spans="2:2" ht="20.100000000000001" customHeight="1" x14ac:dyDescent="0.25">
      <c r="B126" s="1"/>
    </row>
    <row r="127" spans="2:2" ht="20.100000000000001" customHeight="1" x14ac:dyDescent="0.25">
      <c r="B127" s="1"/>
    </row>
    <row r="128" spans="2:2" ht="20.100000000000001" customHeight="1" x14ac:dyDescent="0.25">
      <c r="B128" s="1"/>
    </row>
    <row r="129" spans="2:2" ht="20.100000000000001" customHeight="1" x14ac:dyDescent="0.25">
      <c r="B129" s="1"/>
    </row>
    <row r="130" spans="2:2" ht="20.100000000000001" customHeight="1" x14ac:dyDescent="0.25">
      <c r="B130" s="1"/>
    </row>
    <row r="131" spans="2:2" ht="20.100000000000001" customHeight="1" x14ac:dyDescent="0.25">
      <c r="B131" s="1"/>
    </row>
    <row r="132" spans="2:2" ht="20.100000000000001" customHeight="1" x14ac:dyDescent="0.25">
      <c r="B132" s="1"/>
    </row>
    <row r="133" spans="2:2" ht="20.100000000000001" customHeight="1" x14ac:dyDescent="0.25">
      <c r="B133" s="1"/>
    </row>
    <row r="134" spans="2:2" ht="20.100000000000001" customHeight="1" x14ac:dyDescent="0.25">
      <c r="B134" s="1"/>
    </row>
    <row r="135" spans="2:2" ht="20.100000000000001" customHeight="1" x14ac:dyDescent="0.25">
      <c r="B135" s="1"/>
    </row>
    <row r="136" spans="2:2" ht="20.100000000000001" customHeight="1" x14ac:dyDescent="0.25">
      <c r="B136" s="1"/>
    </row>
    <row r="137" spans="2:2" ht="20.100000000000001" customHeight="1" x14ac:dyDescent="0.25">
      <c r="B137" s="1"/>
    </row>
    <row r="138" spans="2:2" ht="20.100000000000001" customHeight="1" x14ac:dyDescent="0.25">
      <c r="B138" s="1"/>
    </row>
    <row r="139" spans="2:2" ht="20.100000000000001" customHeight="1" x14ac:dyDescent="0.25">
      <c r="B139" s="1"/>
    </row>
    <row r="140" spans="2:2" ht="20.100000000000001" customHeight="1" x14ac:dyDescent="0.25">
      <c r="B140" s="1"/>
    </row>
    <row r="141" spans="2:2" ht="20.100000000000001" customHeight="1" x14ac:dyDescent="0.25">
      <c r="B141" s="1"/>
    </row>
    <row r="142" spans="2:2" ht="20.100000000000001" customHeight="1" x14ac:dyDescent="0.25">
      <c r="B142" s="1"/>
    </row>
    <row r="143" spans="2:2" ht="20.100000000000001" customHeight="1" x14ac:dyDescent="0.25">
      <c r="B143" s="1"/>
    </row>
    <row r="144" spans="2:2" ht="20.100000000000001" customHeight="1" x14ac:dyDescent="0.25">
      <c r="B144" s="1"/>
    </row>
    <row r="145" spans="2:2" ht="20.100000000000001" customHeight="1" x14ac:dyDescent="0.25">
      <c r="B145" s="1"/>
    </row>
    <row r="146" spans="2:2" ht="20.100000000000001" customHeight="1" x14ac:dyDescent="0.25">
      <c r="B146" s="1"/>
    </row>
    <row r="147" spans="2:2" ht="20.100000000000001" customHeight="1" x14ac:dyDescent="0.25">
      <c r="B147" s="1"/>
    </row>
    <row r="148" spans="2:2" ht="20.100000000000001" customHeight="1" x14ac:dyDescent="0.25">
      <c r="B148" s="1"/>
    </row>
    <row r="149" spans="2:2" ht="20.100000000000001" customHeight="1" x14ac:dyDescent="0.25">
      <c r="B149" s="1"/>
    </row>
    <row r="150" spans="2:2" ht="20.100000000000001" customHeight="1" x14ac:dyDescent="0.25">
      <c r="B150" s="1"/>
    </row>
    <row r="151" spans="2:2" ht="20.100000000000001" customHeight="1" x14ac:dyDescent="0.25">
      <c r="B151" s="1"/>
    </row>
    <row r="152" spans="2:2" ht="20.100000000000001" customHeight="1" x14ac:dyDescent="0.25">
      <c r="B152" s="1"/>
    </row>
    <row r="153" spans="2:2" ht="20.100000000000001" customHeight="1" x14ac:dyDescent="0.25">
      <c r="B153" s="1"/>
    </row>
    <row r="154" spans="2:2" ht="20.100000000000001" customHeight="1" x14ac:dyDescent="0.25">
      <c r="B154" s="1"/>
    </row>
    <row r="155" spans="2:2" ht="20.100000000000001" customHeight="1" x14ac:dyDescent="0.25">
      <c r="B155" s="1"/>
    </row>
    <row r="156" spans="2:2" ht="20.100000000000001" customHeight="1" x14ac:dyDescent="0.25">
      <c r="B156" s="1"/>
    </row>
    <row r="157" spans="2:2" ht="20.100000000000001" customHeight="1" x14ac:dyDescent="0.25">
      <c r="B157" s="1"/>
    </row>
    <row r="158" spans="2:2" ht="20.100000000000001" customHeight="1" x14ac:dyDescent="0.25">
      <c r="B158" s="1"/>
    </row>
    <row r="159" spans="2:2" ht="20.100000000000001" customHeight="1" x14ac:dyDescent="0.25">
      <c r="B159" s="1"/>
    </row>
    <row r="160" spans="2:2" ht="20.100000000000001" customHeight="1" x14ac:dyDescent="0.25">
      <c r="B160" s="1"/>
    </row>
    <row r="161" spans="2:2" ht="20.100000000000001" customHeight="1" x14ac:dyDescent="0.25">
      <c r="B161" s="1"/>
    </row>
    <row r="162" spans="2:2" ht="20.100000000000001" customHeight="1" x14ac:dyDescent="0.25">
      <c r="B162" s="1"/>
    </row>
    <row r="163" spans="2:2" ht="20.100000000000001" customHeight="1" x14ac:dyDescent="0.25">
      <c r="B163" s="1"/>
    </row>
    <row r="164" spans="2:2" ht="20.100000000000001" customHeight="1" x14ac:dyDescent="0.25">
      <c r="B164" s="1"/>
    </row>
    <row r="165" spans="2:2" ht="20.100000000000001" customHeight="1" x14ac:dyDescent="0.25">
      <c r="B165" s="1"/>
    </row>
    <row r="166" spans="2:2" ht="20.100000000000001" customHeight="1" x14ac:dyDescent="0.25">
      <c r="B166" s="1"/>
    </row>
    <row r="167" spans="2:2" ht="20.100000000000001" customHeight="1" x14ac:dyDescent="0.25">
      <c r="B167" s="1"/>
    </row>
    <row r="168" spans="2:2" ht="20.100000000000001" customHeight="1" x14ac:dyDescent="0.25">
      <c r="B168" s="1"/>
    </row>
    <row r="169" spans="2:2" ht="20.100000000000001" customHeight="1" x14ac:dyDescent="0.25">
      <c r="B169" s="1"/>
    </row>
    <row r="170" spans="2:2" ht="20.100000000000001" customHeight="1" x14ac:dyDescent="0.25">
      <c r="B170" s="1"/>
    </row>
    <row r="171" spans="2:2" ht="20.100000000000001" customHeight="1" x14ac:dyDescent="0.25">
      <c r="B171" s="1"/>
    </row>
    <row r="172" spans="2:2" ht="20.100000000000001" customHeight="1" x14ac:dyDescent="0.25">
      <c r="B172" s="1"/>
    </row>
    <row r="173" spans="2:2" ht="20.100000000000001" customHeight="1" x14ac:dyDescent="0.25">
      <c r="B173" s="1"/>
    </row>
    <row r="174" spans="2:2" ht="20.100000000000001" customHeight="1" x14ac:dyDescent="0.25">
      <c r="B174" s="1"/>
    </row>
    <row r="175" spans="2:2" ht="20.100000000000001" customHeight="1" x14ac:dyDescent="0.25">
      <c r="B175" s="1"/>
    </row>
    <row r="176" spans="2:2" ht="20.100000000000001" customHeight="1" x14ac:dyDescent="0.25">
      <c r="B176" s="1"/>
    </row>
    <row r="177" spans="2:2" ht="20.100000000000001" customHeight="1" x14ac:dyDescent="0.25">
      <c r="B177" s="1"/>
    </row>
    <row r="178" spans="2:2" ht="20.100000000000001" customHeight="1" x14ac:dyDescent="0.25">
      <c r="B178" s="1"/>
    </row>
    <row r="179" spans="2:2" ht="20.100000000000001" customHeight="1" x14ac:dyDescent="0.25">
      <c r="B179" s="1"/>
    </row>
    <row r="180" spans="2:2" ht="20.100000000000001" customHeight="1" x14ac:dyDescent="0.25">
      <c r="B180" s="1"/>
    </row>
    <row r="181" spans="2:2" ht="20.100000000000001" customHeight="1" x14ac:dyDescent="0.25">
      <c r="B181" s="1"/>
    </row>
    <row r="182" spans="2:2" ht="20.100000000000001" customHeight="1" x14ac:dyDescent="0.25">
      <c r="B182" s="1"/>
    </row>
    <row r="183" spans="2:2" ht="20.100000000000001" customHeight="1" x14ac:dyDescent="0.25">
      <c r="B183" s="1"/>
    </row>
    <row r="184" spans="2:2" ht="20.100000000000001" customHeight="1" x14ac:dyDescent="0.25">
      <c r="B184" s="1"/>
    </row>
    <row r="185" spans="2:2" ht="20.100000000000001" customHeight="1" x14ac:dyDescent="0.25">
      <c r="B185" s="1"/>
    </row>
    <row r="186" spans="2:2" ht="20.100000000000001" customHeight="1" x14ac:dyDescent="0.25">
      <c r="B186" s="1"/>
    </row>
    <row r="187" spans="2:2" ht="20.100000000000001" customHeight="1" x14ac:dyDescent="0.25">
      <c r="B187" s="1"/>
    </row>
    <row r="188" spans="2:2" ht="20.100000000000001" customHeight="1" x14ac:dyDescent="0.25">
      <c r="B188" s="1"/>
    </row>
    <row r="189" spans="2:2" ht="20.100000000000001" customHeight="1" x14ac:dyDescent="0.25">
      <c r="B189" s="1"/>
    </row>
    <row r="190" spans="2:2" ht="20.100000000000001" customHeight="1" x14ac:dyDescent="0.25">
      <c r="B190" s="1"/>
    </row>
    <row r="191" spans="2:2" ht="20.100000000000001" customHeight="1" x14ac:dyDescent="0.25">
      <c r="B191" s="1"/>
    </row>
    <row r="192" spans="2:2" ht="20.100000000000001" customHeight="1" x14ac:dyDescent="0.25">
      <c r="B192" s="1"/>
    </row>
    <row r="193" spans="2:2" ht="20.100000000000001" customHeight="1" x14ac:dyDescent="0.25">
      <c r="B193" s="1"/>
    </row>
    <row r="194" spans="2:2" ht="20.100000000000001" customHeight="1" x14ac:dyDescent="0.25">
      <c r="B194" s="1"/>
    </row>
    <row r="195" spans="2:2" ht="20.100000000000001" customHeight="1" x14ac:dyDescent="0.25">
      <c r="B195" s="1"/>
    </row>
    <row r="196" spans="2:2" ht="20.100000000000001" customHeight="1" x14ac:dyDescent="0.25">
      <c r="B196" s="1"/>
    </row>
    <row r="197" spans="2:2" ht="20.100000000000001" customHeight="1" x14ac:dyDescent="0.25">
      <c r="B197" s="1"/>
    </row>
    <row r="198" spans="2:2" ht="20.100000000000001" customHeight="1" x14ac:dyDescent="0.25">
      <c r="B198" s="1"/>
    </row>
    <row r="199" spans="2:2" ht="20.100000000000001" customHeight="1" x14ac:dyDescent="0.25">
      <c r="B199" s="1"/>
    </row>
    <row r="200" spans="2:2" ht="20.100000000000001" customHeight="1" x14ac:dyDescent="0.25">
      <c r="B200" s="1"/>
    </row>
    <row r="201" spans="2:2" ht="20.100000000000001" customHeight="1" x14ac:dyDescent="0.25">
      <c r="B201" s="1"/>
    </row>
    <row r="202" spans="2:2" ht="20.100000000000001" customHeight="1" x14ac:dyDescent="0.25">
      <c r="B202" s="1"/>
    </row>
    <row r="203" spans="2:2" ht="20.100000000000001" customHeight="1" x14ac:dyDescent="0.25">
      <c r="B203" s="1"/>
    </row>
    <row r="204" spans="2:2" ht="20.100000000000001" customHeight="1" x14ac:dyDescent="0.25">
      <c r="B204" s="1"/>
    </row>
    <row r="205" spans="2:2" ht="20.100000000000001" customHeight="1" x14ac:dyDescent="0.25">
      <c r="B205" s="1"/>
    </row>
    <row r="206" spans="2:2" ht="20.100000000000001" customHeight="1" x14ac:dyDescent="0.25">
      <c r="B206" s="1"/>
    </row>
    <row r="207" spans="2:2" ht="20.100000000000001" customHeight="1" x14ac:dyDescent="0.25">
      <c r="B207" s="1"/>
    </row>
    <row r="208" spans="2:2" ht="20.100000000000001" customHeight="1" x14ac:dyDescent="0.25">
      <c r="B208" s="1"/>
    </row>
    <row r="209" spans="2:2" ht="20.100000000000001" customHeight="1" x14ac:dyDescent="0.25">
      <c r="B209" s="1"/>
    </row>
    <row r="210" spans="2:2" ht="20.100000000000001" customHeight="1" x14ac:dyDescent="0.25">
      <c r="B210" s="1"/>
    </row>
    <row r="211" spans="2:2" ht="20.100000000000001" customHeight="1" x14ac:dyDescent="0.25">
      <c r="B211" s="1"/>
    </row>
    <row r="212" spans="2:2" ht="20.100000000000001" customHeight="1" x14ac:dyDescent="0.25">
      <c r="B212" s="1"/>
    </row>
    <row r="213" spans="2:2" ht="20.100000000000001" customHeight="1" x14ac:dyDescent="0.25">
      <c r="B213" s="1"/>
    </row>
    <row r="214" spans="2:2" ht="20.100000000000001" customHeight="1" x14ac:dyDescent="0.25">
      <c r="B214" s="1"/>
    </row>
    <row r="215" spans="2:2" ht="20.100000000000001" customHeight="1" x14ac:dyDescent="0.25">
      <c r="B215" s="1"/>
    </row>
    <row r="216" spans="2:2" ht="20.100000000000001" customHeight="1" x14ac:dyDescent="0.25">
      <c r="B216" s="1"/>
    </row>
    <row r="217" spans="2:2" ht="20.100000000000001" customHeight="1" x14ac:dyDescent="0.25">
      <c r="B217" s="1"/>
    </row>
    <row r="218" spans="2:2" ht="20.100000000000001" customHeight="1" x14ac:dyDescent="0.25">
      <c r="B218" s="1"/>
    </row>
    <row r="219" spans="2:2" ht="20.100000000000001" customHeight="1" x14ac:dyDescent="0.25">
      <c r="B219" s="1"/>
    </row>
    <row r="220" spans="2:2" ht="20.100000000000001" customHeight="1" x14ac:dyDescent="0.25">
      <c r="B220" s="1"/>
    </row>
    <row r="221" spans="2:2" ht="20.100000000000001" customHeight="1" x14ac:dyDescent="0.25">
      <c r="B221" s="1"/>
    </row>
    <row r="222" spans="2:2" ht="20.100000000000001" customHeight="1" x14ac:dyDescent="0.25">
      <c r="B222" s="1"/>
    </row>
    <row r="223" spans="2:2" ht="20.100000000000001" customHeight="1" x14ac:dyDescent="0.25">
      <c r="B223" s="1"/>
    </row>
    <row r="224" spans="2:2" ht="20.100000000000001" customHeight="1" x14ac:dyDescent="0.25">
      <c r="B224" s="1"/>
    </row>
    <row r="225" spans="2:2" ht="20.100000000000001" customHeight="1" x14ac:dyDescent="0.25">
      <c r="B225" s="1"/>
    </row>
    <row r="226" spans="2:2" ht="20.100000000000001" customHeight="1" x14ac:dyDescent="0.25">
      <c r="B226" s="1"/>
    </row>
    <row r="227" spans="2:2" ht="20.100000000000001" customHeight="1" x14ac:dyDescent="0.25">
      <c r="B227" s="1"/>
    </row>
    <row r="228" spans="2:2" ht="20.100000000000001" customHeight="1" x14ac:dyDescent="0.25">
      <c r="B228" s="1"/>
    </row>
    <row r="229" spans="2:2" ht="20.100000000000001" customHeight="1" x14ac:dyDescent="0.25">
      <c r="B229" s="1"/>
    </row>
    <row r="230" spans="2:2" ht="20.100000000000001" customHeight="1" x14ac:dyDescent="0.25">
      <c r="B230" s="1"/>
    </row>
    <row r="231" spans="2:2" ht="20.100000000000001" customHeight="1" x14ac:dyDescent="0.25">
      <c r="B231" s="1"/>
    </row>
    <row r="232" spans="2:2" ht="20.100000000000001" customHeight="1" x14ac:dyDescent="0.25">
      <c r="B232" s="1"/>
    </row>
    <row r="233" spans="2:2" ht="20.100000000000001" customHeight="1" x14ac:dyDescent="0.25">
      <c r="B233" s="1"/>
    </row>
    <row r="234" spans="2:2" ht="20.100000000000001" customHeight="1" x14ac:dyDescent="0.25">
      <c r="B234" s="1"/>
    </row>
    <row r="235" spans="2:2" ht="20.100000000000001" customHeight="1" x14ac:dyDescent="0.25">
      <c r="B235" s="1"/>
    </row>
    <row r="236" spans="2:2" ht="20.100000000000001" customHeight="1" x14ac:dyDescent="0.25">
      <c r="B236" s="1"/>
    </row>
    <row r="237" spans="2:2" ht="20.100000000000001" customHeight="1" x14ac:dyDescent="0.25">
      <c r="B237" s="1"/>
    </row>
    <row r="238" spans="2:2" ht="20.100000000000001" customHeight="1" x14ac:dyDescent="0.25">
      <c r="B238" s="1"/>
    </row>
    <row r="239" spans="2:2" ht="20.100000000000001" customHeight="1" x14ac:dyDescent="0.25">
      <c r="B239" s="1"/>
    </row>
    <row r="240" spans="2:2" ht="20.100000000000001" customHeight="1" x14ac:dyDescent="0.25">
      <c r="B240" s="1"/>
    </row>
    <row r="241" spans="2:2" ht="20.100000000000001" customHeight="1" x14ac:dyDescent="0.25">
      <c r="B241" s="1"/>
    </row>
    <row r="242" spans="2:2" ht="20.100000000000001" customHeight="1" x14ac:dyDescent="0.25">
      <c r="B242" s="1"/>
    </row>
    <row r="243" spans="2:2" ht="20.100000000000001" customHeight="1" x14ac:dyDescent="0.25">
      <c r="B243" s="1"/>
    </row>
  </sheetData>
  <mergeCells count="1">
    <mergeCell ref="A1:J2"/>
  </mergeCells>
  <conditionalFormatting sqref="G4:G102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:E10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{B0FF7253-56F4-446C-997F-EF279F121F40}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FF7253-56F4-446C-997F-EF279F121F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E4:E102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A959-90CB-4CCF-AD42-48D1E54A292B}">
  <dimension ref="A1:Q9"/>
  <sheetViews>
    <sheetView workbookViewId="0">
      <selection activeCell="D29" sqref="D29"/>
    </sheetView>
  </sheetViews>
  <sheetFormatPr defaultColWidth="15.7109375" defaultRowHeight="20.100000000000001" customHeight="1" x14ac:dyDescent="0.25"/>
  <cols>
    <col min="1" max="1" width="22.5703125" customWidth="1"/>
    <col min="2" max="2" width="21.28515625" customWidth="1"/>
    <col min="5" max="5" width="24.7109375" customWidth="1"/>
    <col min="6" max="6" width="17.28515625" customWidth="1"/>
    <col min="7" max="7" width="19.28515625" customWidth="1"/>
    <col min="10" max="10" width="20.7109375" customWidth="1"/>
    <col min="12" max="12" width="16.7109375" customWidth="1"/>
    <col min="15" max="15" width="23" customWidth="1"/>
    <col min="16" max="16" width="19.28515625" customWidth="1"/>
  </cols>
  <sheetData>
    <row r="1" spans="1:17" ht="20.100000000000001" customHeight="1" x14ac:dyDescent="0.25">
      <c r="A1" s="26" t="s">
        <v>123</v>
      </c>
      <c r="B1" s="26" t="s">
        <v>122</v>
      </c>
      <c r="E1" s="25" t="s">
        <v>134</v>
      </c>
      <c r="F1" s="30"/>
      <c r="G1" s="31"/>
      <c r="J1" s="13" t="s">
        <v>135</v>
      </c>
      <c r="K1" s="14"/>
      <c r="L1" s="15"/>
      <c r="O1" s="19" t="s">
        <v>131</v>
      </c>
      <c r="P1" s="20"/>
      <c r="Q1" s="21"/>
    </row>
    <row r="2" spans="1:17" ht="20.100000000000001" customHeight="1" x14ac:dyDescent="0.25">
      <c r="A2" s="27"/>
      <c r="B2" s="27"/>
      <c r="E2" s="32"/>
      <c r="F2" s="33"/>
      <c r="G2" s="34"/>
      <c r="J2" s="16"/>
      <c r="K2" s="17"/>
      <c r="L2" s="18"/>
      <c r="O2" s="22"/>
      <c r="P2" s="23"/>
      <c r="Q2" s="24"/>
    </row>
    <row r="3" spans="1:17" ht="20.100000000000001" customHeight="1" x14ac:dyDescent="0.3">
      <c r="A3" s="7" t="s">
        <v>6</v>
      </c>
      <c r="B3" s="8" t="s">
        <v>129</v>
      </c>
      <c r="E3" s="9" t="s">
        <v>2</v>
      </c>
      <c r="F3" s="10" t="s">
        <v>130</v>
      </c>
      <c r="G3" s="10" t="s">
        <v>6</v>
      </c>
      <c r="J3" s="12" t="s">
        <v>7</v>
      </c>
      <c r="K3" s="12" t="s">
        <v>130</v>
      </c>
      <c r="L3" s="12" t="s">
        <v>6</v>
      </c>
      <c r="O3" s="28" t="s">
        <v>8</v>
      </c>
      <c r="P3" s="28" t="s">
        <v>132</v>
      </c>
      <c r="Q3" s="28" t="s">
        <v>133</v>
      </c>
    </row>
    <row r="4" spans="1:17" ht="20.100000000000001" customHeight="1" x14ac:dyDescent="0.25">
      <c r="A4" s="7" t="s">
        <v>124</v>
      </c>
      <c r="B4" s="8">
        <f>SUM('Online Sales Data'!E4:E102)</f>
        <v>247</v>
      </c>
      <c r="E4" s="8" t="s">
        <v>9</v>
      </c>
      <c r="F4" s="11">
        <f>SUMIF('Online Sales Data'!C:C,"Electronics",'Online Sales Data'!E:E)</f>
        <v>35</v>
      </c>
      <c r="G4" s="8">
        <f>SUMIF('Online Sales Data'!C:C,"Electronics",'Online Sales Data'!G:G)</f>
        <v>16299.649999999992</v>
      </c>
      <c r="J4" s="8" t="s">
        <v>11</v>
      </c>
      <c r="K4" s="8">
        <f>SUMIF('Online Sales Data'!$H4:$H102,J4,'Online Sales Data'!$E4:$E102)</f>
        <v>85</v>
      </c>
      <c r="L4" s="8">
        <f>SUMIF('Online Sales Data'!$H4:$H102,J4,'Online Sales Data'!$G4:$G102)</f>
        <v>17329.219999999994</v>
      </c>
      <c r="O4" s="29" t="s">
        <v>12</v>
      </c>
      <c r="P4" s="29">
        <f>COUNTIF('Online Sales Data'!$I4:$I102,"*Credit Card*")</f>
        <v>49</v>
      </c>
      <c r="Q4" s="29">
        <f>SUMIF('Online Sales Data'!$I4:$I102,O4,'Online Sales Data'!$G4:$G102)</f>
        <v>24512.75</v>
      </c>
    </row>
    <row r="5" spans="1:17" ht="20.100000000000001" customHeight="1" x14ac:dyDescent="0.25">
      <c r="A5" s="7" t="s">
        <v>125</v>
      </c>
      <c r="B5" s="8">
        <f>AVERAGE('Online Sales Data'!F4:F102)</f>
        <v>254.59242424242458</v>
      </c>
      <c r="E5" s="8" t="s">
        <v>13</v>
      </c>
      <c r="F5" s="11">
        <f>SUMIF('Online Sales Data'!C:C,"Home Appliances",'Online Sales Data'!E:E)</f>
        <v>25</v>
      </c>
      <c r="G5" s="8">
        <f>SUMIF('Online Sales Data'!C:C,"Home Appliances",'Online Sales Data'!G:G)</f>
        <v>10629.75</v>
      </c>
      <c r="J5" s="8" t="s">
        <v>15</v>
      </c>
      <c r="K5" s="8">
        <f>SUMIF('Online Sales Data'!$H5:$H103,J5,'Online Sales Data'!$E5:$E103)</f>
        <v>44</v>
      </c>
      <c r="L5" s="8">
        <f>SUMIF('Online Sales Data'!$H5:$H103,J5,'Online Sales Data'!$G5:$G103)</f>
        <v>12146.679999999998</v>
      </c>
      <c r="O5" s="29" t="s">
        <v>16</v>
      </c>
      <c r="P5" s="29">
        <f>COUNTIF('Online Sales Data'!$I:$I,"*paypal*")</f>
        <v>33</v>
      </c>
      <c r="Q5" s="29">
        <f>SUMIF('Online Sales Data'!$I5:$I103,O5,'Online Sales Data'!$G5:$G103)</f>
        <v>12146.679999999998</v>
      </c>
    </row>
    <row r="6" spans="1:17" ht="20.100000000000001" customHeight="1" x14ac:dyDescent="0.25">
      <c r="A6" s="7" t="s">
        <v>126</v>
      </c>
      <c r="B6" s="8">
        <f>COUNTA('Online Sales Data'!A4:A102)</f>
        <v>99</v>
      </c>
      <c r="E6" s="8" t="s">
        <v>17</v>
      </c>
      <c r="F6" s="11">
        <f>SUMIF('Online Sales Data'!C:C,"Clothing",'Online Sales Data'!E:E)</f>
        <v>69</v>
      </c>
      <c r="G6" s="8">
        <f>SUMIF('Online Sales Data'!C:C,"Clothing",'Online Sales Data'!G:G)</f>
        <v>4524.3099999999986</v>
      </c>
      <c r="J6" s="8" t="s">
        <v>19</v>
      </c>
      <c r="K6" s="8">
        <f>SUMIF('Online Sales Data'!$H6:$H104,J6,'Online Sales Data'!$E6:$E104)</f>
        <v>118</v>
      </c>
      <c r="L6" s="8">
        <f>SUMIF('Online Sales Data'!$H6:$H104,J6,'Online Sales Data'!$G6:$G104)</f>
        <v>11707.839999999995</v>
      </c>
      <c r="O6" s="29" t="s">
        <v>20</v>
      </c>
      <c r="P6" s="29">
        <f>COUNTIF('Online Sales Data'!$I:$I,"*debit Card*")</f>
        <v>17</v>
      </c>
      <c r="Q6" s="29">
        <f>SUMIF('Online Sales Data'!$I6:$I104,O6,'Online Sales Data'!$G6:$G104)</f>
        <v>4524.3099999999986</v>
      </c>
    </row>
    <row r="7" spans="1:17" ht="20.100000000000001" customHeight="1" x14ac:dyDescent="0.25">
      <c r="A7" s="7" t="s">
        <v>127</v>
      </c>
      <c r="B7" s="8">
        <f>MAX('Online Sales Data'!G4:G102)</f>
        <v>2599.98</v>
      </c>
      <c r="E7" s="8" t="s">
        <v>21</v>
      </c>
      <c r="F7" s="11">
        <f>SUMIF('Online Sales Data'!C:C,"Books",'Online Sales Data'!E:E)</f>
        <v>50</v>
      </c>
      <c r="G7" s="8">
        <f>SUMIF('Online Sales Data'!C:C,"Books",'Online Sales Data'!G:G)</f>
        <v>1029.5700000000002</v>
      </c>
    </row>
    <row r="8" spans="1:17" ht="20.100000000000001" customHeight="1" x14ac:dyDescent="0.25">
      <c r="A8" s="7" t="s">
        <v>128</v>
      </c>
      <c r="B8" s="2">
        <f>MIN('Online Sales Data'!G4:G102)</f>
        <v>21.98</v>
      </c>
      <c r="E8" s="8" t="s">
        <v>23</v>
      </c>
      <c r="F8" s="11">
        <f>SUMIF('Online Sales Data'!C:C,"Beauty Products",'Online Sales Data'!E:E)</f>
        <v>19</v>
      </c>
      <c r="G8" s="8">
        <f>SUMIF('Online Sales Data'!C:C,"Beauty Products",'Online Sales Data'!G:G)</f>
        <v>1516.93</v>
      </c>
    </row>
    <row r="9" spans="1:17" ht="20.100000000000001" customHeight="1" x14ac:dyDescent="0.25">
      <c r="E9" s="8" t="s">
        <v>25</v>
      </c>
      <c r="F9" s="11">
        <f>SUMIF('Online Sales Data'!C:C,"Sports",'Online Sales Data'!E:E)</f>
        <v>49</v>
      </c>
      <c r="G9" s="2">
        <f>SUMIF('Online Sales Data'!C:C,"Sports",'Online Sales Data'!G:G)</f>
        <v>7183.5300000000007</v>
      </c>
    </row>
  </sheetData>
  <mergeCells count="5">
    <mergeCell ref="E1:G2"/>
    <mergeCell ref="J1:L2"/>
    <mergeCell ref="A1:A2"/>
    <mergeCell ref="B1:B2"/>
    <mergeCell ref="O1:Q2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Sales Data</vt:lpstr>
      <vt:lpstr>Analysis &amp;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Nirupama Dwivedi</dc:creator>
  <cp:lastModifiedBy>Nirupama Dwivedi</cp:lastModifiedBy>
  <dcterms:created xsi:type="dcterms:W3CDTF">2026-09-23T04:18:23Z</dcterms:created>
  <dcterms:modified xsi:type="dcterms:W3CDTF">2026-09-23T06:00:08Z</dcterms:modified>
</cp:coreProperties>
</file>